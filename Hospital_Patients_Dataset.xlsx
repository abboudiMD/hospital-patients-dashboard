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epsil\Downloads\"/>
    </mc:Choice>
  </mc:AlternateContent>
  <xr:revisionPtr revIDLastSave="0" documentId="13_ncr:1_{20DD9EA2-FAA1-4A6F-B3B4-351C89913A49}" xr6:coauthVersionLast="47" xr6:coauthVersionMax="47" xr10:uidLastSave="{00000000-0000-0000-0000-000000000000}"/>
  <bookViews>
    <workbookView xWindow="-120" yWindow="-120" windowWidth="20730" windowHeight="11040" activeTab="2" xr2:uid="{5ABBFA4D-F81B-4B53-8BFF-6A9C4B2FE2D1}"/>
  </bookViews>
  <sheets>
    <sheet name="Pivot table" sheetId="3" r:id="rId1"/>
    <sheet name="Hospital Patients" sheetId="1" r:id="rId2"/>
    <sheet name="Dashboard" sheetId="5" r:id="rId3"/>
  </sheets>
  <definedNames>
    <definedName name="_xlnm._FilterDatabase" localSheetId="1" hidden="1">'Hospital Patients'!$A$1:$K$1001</definedName>
    <definedName name="Slicer_Department">#N/A</definedName>
    <definedName name="Slicer_Diagnosis">#N/A</definedName>
    <definedName name="Slicer_Years__Admiss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73" i="1" l="1" a="1"/>
  <c r="L73" i="1" s="1"/>
  <c r="N4" i="1"/>
  <c r="N5" i="1"/>
  <c r="N6" i="1"/>
  <c r="N7" i="1"/>
  <c r="N3" i="1"/>
  <c r="O991" i="1"/>
  <c r="O990"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11" i="1"/>
  <c r="M12" i="1"/>
  <c r="M5" i="1"/>
  <c r="M6" i="1"/>
  <c r="M7" i="1"/>
  <c r="M8" i="1"/>
  <c r="M9" i="1"/>
  <c r="M10" i="1"/>
  <c r="M3" i="1"/>
  <c r="M4" i="1"/>
  <c r="M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c r="L54" i="1" a="1"/>
  <c r="L54" i="1" s="1"/>
  <c r="L55" i="1" a="1"/>
  <c r="L55" i="1" s="1"/>
  <c r="L56" i="1" a="1"/>
  <c r="L56" i="1" s="1"/>
  <c r="L57" i="1" a="1"/>
  <c r="L57" i="1" s="1"/>
  <c r="L58" i="1" a="1"/>
  <c r="L58" i="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c r="L114" i="1" a="1"/>
  <c r="L114" i="1" s="1"/>
  <c r="L115" i="1" a="1"/>
  <c r="L115" i="1" s="1"/>
  <c r="L116" i="1" a="1"/>
  <c r="L116" i="1" s="1"/>
  <c r="L117" i="1" a="1"/>
  <c r="L117" i="1"/>
  <c r="L118" i="1" a="1"/>
  <c r="L118" i="1" s="1"/>
  <c r="L119" i="1" a="1"/>
  <c r="L119" i="1" s="1"/>
  <c r="L120" i="1" a="1"/>
  <c r="L120" i="1" s="1"/>
  <c r="L121" i="1" a="1"/>
  <c r="L121" i="1" s="1"/>
  <c r="L122" i="1" a="1"/>
  <c r="L122" i="1"/>
  <c r="L123" i="1" a="1"/>
  <c r="L123" i="1" s="1"/>
  <c r="L124" i="1" a="1"/>
  <c r="L124" i="1" s="1"/>
  <c r="L125" i="1" a="1"/>
  <c r="L125" i="1" s="1"/>
  <c r="L126" i="1" a="1"/>
  <c r="L126" i="1" s="1"/>
  <c r="L127" i="1" a="1"/>
  <c r="L127" i="1" s="1"/>
  <c r="L128" i="1" a="1"/>
  <c r="L128" i="1" s="1"/>
  <c r="L129" i="1" a="1"/>
  <c r="L129" i="1"/>
  <c r="L130" i="1" a="1"/>
  <c r="L130" i="1" s="1"/>
  <c r="L131" i="1" a="1"/>
  <c r="L131" i="1" s="1"/>
  <c r="L132" i="1" a="1"/>
  <c r="L132" i="1" s="1"/>
  <c r="L133" i="1" a="1"/>
  <c r="L133" i="1"/>
  <c r="L134" i="1" a="1"/>
  <c r="L134" i="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c r="L235" i="1" a="1"/>
  <c r="L235" i="1" s="1"/>
  <c r="L236" i="1" a="1"/>
  <c r="L236" i="1" s="1"/>
  <c r="L237" i="1" a="1"/>
  <c r="L237" i="1" s="1"/>
  <c r="L238" i="1" a="1"/>
  <c r="L238" i="1" s="1"/>
  <c r="L239" i="1" a="1"/>
  <c r="L239" i="1" s="1"/>
  <c r="L240" i="1" a="1"/>
  <c r="L240" i="1" s="1"/>
  <c r="L241" i="1" a="1"/>
  <c r="L241" i="1"/>
  <c r="L242" i="1" a="1"/>
  <c r="L242" i="1" s="1"/>
  <c r="L243" i="1" a="1"/>
  <c r="L243" i="1" s="1"/>
  <c r="L244" i="1" a="1"/>
  <c r="L244" i="1" s="1"/>
  <c r="L245" i="1" a="1"/>
  <c r="L245" i="1" s="1"/>
  <c r="L246" i="1" a="1"/>
  <c r="L246" i="1"/>
  <c r="L247" i="1" a="1"/>
  <c r="L247" i="1" s="1"/>
  <c r="L248" i="1" a="1"/>
  <c r="L248" i="1" s="1"/>
  <c r="L249" i="1" a="1"/>
  <c r="L249" i="1" s="1"/>
  <c r="L250" i="1" a="1"/>
  <c r="L250" i="1" s="1"/>
  <c r="L251" i="1" a="1"/>
  <c r="L251" i="1" s="1"/>
  <c r="L252" i="1" a="1"/>
  <c r="L252" i="1" s="1"/>
  <c r="L253" i="1" a="1"/>
  <c r="L253" i="1"/>
  <c r="L254" i="1" a="1"/>
  <c r="L254" i="1" s="1"/>
  <c r="L255" i="1" a="1"/>
  <c r="L255" i="1" s="1"/>
  <c r="L256" i="1" a="1"/>
  <c r="L256" i="1" s="1"/>
  <c r="L257" i="1" a="1"/>
  <c r="L257" i="1" s="1"/>
  <c r="L258" i="1" a="1"/>
  <c r="L258" i="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c r="L310" i="1" a="1"/>
  <c r="L310" i="1" s="1"/>
  <c r="L311" i="1" a="1"/>
  <c r="L311" i="1" s="1"/>
  <c r="L312" i="1" a="1"/>
  <c r="L312" i="1" s="1"/>
  <c r="L313" i="1" a="1"/>
  <c r="L313" i="1" s="1"/>
  <c r="L314" i="1" a="1"/>
  <c r="L314" i="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c r="L342" i="1" a="1"/>
  <c r="L342" i="1" s="1"/>
  <c r="L343" i="1" a="1"/>
  <c r="L343" i="1" s="1"/>
  <c r="L344" i="1" a="1"/>
  <c r="L344" i="1" s="1"/>
  <c r="L345" i="1" a="1"/>
  <c r="L345" i="1" s="1"/>
  <c r="L346" i="1" a="1"/>
  <c r="L346" i="1"/>
  <c r="L347" i="1" a="1"/>
  <c r="L347" i="1" s="1"/>
  <c r="L348" i="1" a="1"/>
  <c r="L348" i="1" s="1"/>
  <c r="L349" i="1" a="1"/>
  <c r="L349" i="1" s="1"/>
  <c r="L350" i="1" a="1"/>
  <c r="L350" i="1" s="1"/>
  <c r="L351" i="1" a="1"/>
  <c r="L351" i="1" s="1"/>
  <c r="L352" i="1" a="1"/>
  <c r="L352" i="1" s="1"/>
  <c r="L353" i="1" a="1"/>
  <c r="L353" i="1" s="1"/>
  <c r="L354" i="1" a="1"/>
  <c r="L354" i="1" s="1"/>
  <c r="L355" i="1" a="1"/>
  <c r="L355" i="1"/>
  <c r="L356" i="1" a="1"/>
  <c r="L356" i="1" s="1"/>
  <c r="L357" i="1" a="1"/>
  <c r="L357" i="1" s="1"/>
  <c r="L358" i="1" a="1"/>
  <c r="L358" i="1" s="1"/>
  <c r="L359" i="1" a="1"/>
  <c r="L359" i="1" s="1"/>
  <c r="L360" i="1" a="1"/>
  <c r="L360" i="1" s="1"/>
  <c r="L361" i="1" a="1"/>
  <c r="L361" i="1"/>
  <c r="L362" i="1" a="1"/>
  <c r="L362" i="1" s="1"/>
  <c r="L363" i="1" a="1"/>
  <c r="L363" i="1" s="1"/>
  <c r="L364" i="1" a="1"/>
  <c r="L364" i="1" s="1"/>
  <c r="L365" i="1" a="1"/>
  <c r="L365" i="1"/>
  <c r="L366" i="1" a="1"/>
  <c r="L366" i="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c r="L390" i="1" a="1"/>
  <c r="L390" i="1" s="1"/>
  <c r="L391" i="1" a="1"/>
  <c r="L391" i="1" s="1"/>
  <c r="L392" i="1" a="1"/>
  <c r="L392" i="1" s="1"/>
  <c r="L393" i="1" a="1"/>
  <c r="L393" i="1" s="1"/>
  <c r="L394" i="1" a="1"/>
  <c r="L394" i="1" s="1"/>
  <c r="L395" i="1" a="1"/>
  <c r="L395" i="1"/>
  <c r="L396" i="1" a="1"/>
  <c r="L396" i="1" s="1"/>
  <c r="L397" i="1" a="1"/>
  <c r="L397" i="1" s="1"/>
  <c r="L398" i="1" a="1"/>
  <c r="L398" i="1" s="1"/>
  <c r="L399" i="1" a="1"/>
  <c r="L399" i="1"/>
  <c r="L400" i="1" a="1"/>
  <c r="L400" i="1" s="1"/>
  <c r="L401" i="1" a="1"/>
  <c r="L401" i="1" s="1"/>
  <c r="L402" i="1" a="1"/>
  <c r="L402" i="1" s="1"/>
  <c r="L403" i="1" a="1"/>
  <c r="L403" i="1" s="1"/>
  <c r="L404" i="1" a="1"/>
  <c r="L404" i="1" s="1"/>
  <c r="L405" i="1" a="1"/>
  <c r="L405" i="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c r="L426" i="1" a="1"/>
  <c r="L426" i="1" s="1"/>
  <c r="L427" i="1" a="1"/>
  <c r="L427" i="1"/>
  <c r="L428" i="1" a="1"/>
  <c r="L428" i="1" s="1"/>
  <c r="L429" i="1" a="1"/>
  <c r="L429" i="1" s="1"/>
  <c r="L430" i="1" a="1"/>
  <c r="L430" i="1"/>
  <c r="L431" i="1" a="1"/>
  <c r="L431" i="1" s="1"/>
  <c r="L432" i="1" a="1"/>
  <c r="L432" i="1" s="1"/>
  <c r="L433" i="1" a="1"/>
  <c r="L433" i="1" s="1"/>
  <c r="L434" i="1" a="1"/>
  <c r="L434" i="1"/>
  <c r="L435" i="1" a="1"/>
  <c r="L435" i="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c r="L455" i="1" a="1"/>
  <c r="L455" i="1" s="1"/>
  <c r="L456" i="1" a="1"/>
  <c r="L456" i="1" s="1"/>
  <c r="L457" i="1" a="1"/>
  <c r="L457" i="1" s="1"/>
  <c r="L458" i="1" a="1"/>
  <c r="L458" i="1"/>
  <c r="L459" i="1" a="1"/>
  <c r="L459" i="1"/>
  <c r="L460" i="1" a="1"/>
  <c r="L460" i="1" s="1"/>
  <c r="L461" i="1" a="1"/>
  <c r="L461" i="1" s="1"/>
  <c r="L462" i="1" a="1"/>
  <c r="L462" i="1" s="1"/>
  <c r="L463" i="1" a="1"/>
  <c r="L463" i="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c r="L498" i="1" a="1"/>
  <c r="L498" i="1"/>
  <c r="L499" i="1" a="1"/>
  <c r="L499" i="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c r="L528" i="1" a="1"/>
  <c r="L528" i="1" s="1"/>
  <c r="L529" i="1" a="1"/>
  <c r="L529" i="1" s="1"/>
  <c r="L530" i="1" a="1"/>
  <c r="L530" i="1" s="1"/>
  <c r="L531" i="1" a="1"/>
  <c r="L531" i="1"/>
  <c r="L532" i="1" a="1"/>
  <c r="L532" i="1" s="1"/>
  <c r="L533" i="1" a="1"/>
  <c r="L533" i="1" s="1"/>
  <c r="L534" i="1" a="1"/>
  <c r="L534" i="1" s="1"/>
  <c r="L535" i="1" a="1"/>
  <c r="L535" i="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c r="L548" i="1" a="1"/>
  <c r="L548" i="1" s="1"/>
  <c r="L549" i="1" a="1"/>
  <c r="L549" i="1" s="1"/>
  <c r="L550" i="1" a="1"/>
  <c r="L550" i="1" s="1"/>
  <c r="L551" i="1" a="1"/>
  <c r="L551" i="1" s="1"/>
  <c r="L552" i="1" a="1"/>
  <c r="L552" i="1" s="1"/>
  <c r="L553" i="1" a="1"/>
  <c r="L553" i="1" s="1"/>
  <c r="L554" i="1" a="1"/>
  <c r="L554" i="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c r="L572" i="1" a="1"/>
  <c r="L572" i="1" s="1"/>
  <c r="L573" i="1" a="1"/>
  <c r="L573" i="1" s="1"/>
  <c r="L574" i="1" a="1"/>
  <c r="L574" i="1" s="1"/>
  <c r="L575" i="1" a="1"/>
  <c r="L575" i="1" s="1"/>
  <c r="L576" i="1" a="1"/>
  <c r="L576" i="1" s="1"/>
  <c r="L577" i="1" a="1"/>
  <c r="L577" i="1" s="1"/>
  <c r="L578" i="1" a="1"/>
  <c r="L578" i="1" s="1"/>
  <c r="L579" i="1" a="1"/>
  <c r="L579" i="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c r="L603" i="1" a="1"/>
  <c r="L603" i="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c r="L624" i="1" a="1"/>
  <c r="L624" i="1" s="1"/>
  <c r="L625" i="1" a="1"/>
  <c r="L625" i="1" s="1"/>
  <c r="L626" i="1" a="1"/>
  <c r="L626" i="1" s="1"/>
  <c r="L627" i="1" a="1"/>
  <c r="L627" i="1" s="1"/>
  <c r="L628" i="1" a="1"/>
  <c r="L628" i="1" s="1"/>
  <c r="L629" i="1" a="1"/>
  <c r="L629" i="1" s="1"/>
  <c r="L630" i="1" a="1"/>
  <c r="L630" i="1"/>
  <c r="L631" i="1" a="1"/>
  <c r="L631" i="1" s="1"/>
  <c r="L632" i="1" a="1"/>
  <c r="L632" i="1" s="1"/>
  <c r="L633" i="1" a="1"/>
  <c r="L633" i="1" s="1"/>
  <c r="L634" i="1" a="1"/>
  <c r="L634" i="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c r="L763" i="1" a="1"/>
  <c r="L763" i="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c r="L779" i="1" a="1"/>
  <c r="L779" i="1" s="1"/>
  <c r="L780" i="1" a="1"/>
  <c r="L780" i="1" s="1"/>
  <c r="L781" i="1" a="1"/>
  <c r="L781" i="1" s="1"/>
  <c r="L782" i="1" a="1"/>
  <c r="L782" i="1" s="1"/>
  <c r="L783" i="1" a="1"/>
  <c r="L783" i="1"/>
  <c r="L784" i="1" a="1"/>
  <c r="L784" i="1" s="1"/>
  <c r="L785" i="1" a="1"/>
  <c r="L785" i="1" s="1"/>
  <c r="L786" i="1" a="1"/>
  <c r="L786" i="1" s="1"/>
  <c r="L787" i="1" a="1"/>
  <c r="L787" i="1" s="1"/>
  <c r="L788" i="1" a="1"/>
  <c r="L788" i="1" s="1"/>
  <c r="L789" i="1" a="1"/>
  <c r="L789" i="1" s="1"/>
  <c r="L790" i="1" a="1"/>
  <c r="L790" i="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c r="L867" i="1" a="1"/>
  <c r="L867" i="1" s="1"/>
  <c r="L868" i="1" a="1"/>
  <c r="L868" i="1" s="1"/>
  <c r="L869" i="1" a="1"/>
  <c r="L869" i="1" s="1"/>
  <c r="L870" i="1" a="1"/>
  <c r="L870" i="1"/>
  <c r="L871" i="1" a="1"/>
  <c r="L871" i="1" s="1"/>
  <c r="L872" i="1" a="1"/>
  <c r="L872" i="1" s="1"/>
  <c r="L873" i="1" a="1"/>
  <c r="L873" i="1" s="1"/>
  <c r="L874" i="1" a="1"/>
  <c r="L874" i="1" s="1"/>
  <c r="L875" i="1" a="1"/>
  <c r="L875" i="1" s="1"/>
  <c r="L876" i="1" a="1"/>
  <c r="L876" i="1" s="1"/>
  <c r="L877" i="1" a="1"/>
  <c r="L877" i="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c r="L894" i="1" a="1"/>
  <c r="L894" i="1" s="1"/>
  <c r="L895" i="1" a="1"/>
  <c r="L895" i="1" s="1"/>
  <c r="L896" i="1" a="1"/>
  <c r="L896" i="1" s="1"/>
  <c r="L897" i="1" a="1"/>
  <c r="L897" i="1"/>
  <c r="L898" i="1" a="1"/>
  <c r="L898" i="1" s="1"/>
  <c r="L899" i="1" a="1"/>
  <c r="L899" i="1" s="1"/>
  <c r="L900" i="1" a="1"/>
  <c r="L900" i="1" s="1"/>
  <c r="L901" i="1" a="1"/>
  <c r="L901" i="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c r="L931" i="1" a="1"/>
  <c r="L931" i="1" s="1"/>
  <c r="L932" i="1" a="1"/>
  <c r="L932" i="1" s="1"/>
  <c r="L933" i="1" a="1"/>
  <c r="L933" i="1" s="1"/>
  <c r="L934" i="1" a="1"/>
  <c r="L934" i="1"/>
  <c r="L935" i="1" a="1"/>
  <c r="L935" i="1" s="1"/>
  <c r="L936" i="1" a="1"/>
  <c r="L936" i="1" s="1"/>
  <c r="L937" i="1" a="1"/>
  <c r="L937" i="1" s="1"/>
  <c r="L938" i="1" a="1"/>
  <c r="L938" i="1" s="1"/>
  <c r="L939" i="1" a="1"/>
  <c r="L939" i="1" s="1"/>
  <c r="L940" i="1" a="1"/>
  <c r="L940" i="1" s="1"/>
  <c r="L941" i="1" a="1"/>
  <c r="L941" i="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c r="L958" i="1" a="1"/>
  <c r="L958" i="1" s="1"/>
  <c r="L959" i="1" a="1"/>
  <c r="L959" i="1" s="1"/>
  <c r="L960" i="1" a="1"/>
  <c r="L960" i="1" s="1"/>
  <c r="L961" i="1" a="1"/>
  <c r="L961" i="1"/>
  <c r="L962" i="1" a="1"/>
  <c r="L962" i="1" s="1"/>
  <c r="L963" i="1" a="1"/>
  <c r="L963" i="1" s="1"/>
  <c r="L964" i="1" a="1"/>
  <c r="L964" i="1" s="1"/>
  <c r="L965" i="1" a="1"/>
  <c r="L965" i="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c r="L977" i="1" a="1"/>
  <c r="L977" i="1" s="1"/>
  <c r="L978" i="1" a="1"/>
  <c r="L978" i="1" s="1"/>
  <c r="L979" i="1" a="1"/>
  <c r="L979" i="1" s="1"/>
  <c r="L980" i="1" a="1"/>
  <c r="L980" i="1"/>
  <c r="L981" i="1" a="1"/>
  <c r="L981" i="1" s="1"/>
  <c r="L982" i="1" a="1"/>
  <c r="L982" i="1" s="1"/>
  <c r="L983" i="1" a="1"/>
  <c r="L983" i="1" s="1"/>
  <c r="L984" i="1" a="1"/>
  <c r="L984" i="1" s="1"/>
  <c r="L985" i="1" a="1"/>
  <c r="L985" i="1"/>
  <c r="L986" i="1" a="1"/>
  <c r="L986" i="1" s="1"/>
  <c r="L987" i="1" a="1"/>
  <c r="L987" i="1"/>
  <c r="L988" i="1" a="1"/>
  <c r="L988" i="1" s="1"/>
  <c r="L989" i="1" a="1"/>
  <c r="L989" i="1" s="1"/>
  <c r="L990" i="1" a="1"/>
  <c r="L990" i="1" s="1"/>
  <c r="L991" i="1" a="1"/>
  <c r="L991" i="1" s="1"/>
  <c r="L992" i="1" a="1"/>
  <c r="L992" i="1" s="1"/>
  <c r="L993" i="1" a="1"/>
  <c r="L993" i="1"/>
  <c r="L994" i="1" a="1"/>
  <c r="L994" i="1" s="1"/>
  <c r="L995" i="1" a="1"/>
  <c r="L995" i="1" s="1"/>
  <c r="L996" i="1" a="1"/>
  <c r="L996" i="1"/>
  <c r="L997" i="1" a="1"/>
  <c r="L997" i="1" s="1"/>
  <c r="L998" i="1" a="1"/>
  <c r="L998" i="1" s="1"/>
  <c r="L999" i="1" a="1"/>
  <c r="L999" i="1" s="1"/>
  <c r="L1000" i="1" a="1"/>
  <c r="L1000" i="1" s="1"/>
  <c r="L1001" i="1" a="1"/>
  <c r="L1001" i="1" s="1"/>
  <c r="L2" i="1" a="1"/>
  <c r="L2" i="1" s="1"/>
  <c r="G5" i="3"/>
  <c r="E5" i="3"/>
  <c r="A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<sst xmlns="http://schemas.openxmlformats.org/spreadsheetml/2006/main" count="6082" uniqueCount="1784">
  <si>
    <t>Patient ID</t>
  </si>
  <si>
    <t>Patient Name</t>
  </si>
  <si>
    <t>Age</t>
  </si>
  <si>
    <t>Gender</t>
  </si>
  <si>
    <t>Admission Date</t>
  </si>
  <si>
    <t>Discharge Date</t>
  </si>
  <si>
    <t>Department</t>
  </si>
  <si>
    <t>Diagnosis</t>
  </si>
  <si>
    <t>Total Bill Amount</t>
  </si>
  <si>
    <t>Insurance Coverage %</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</si>
  <si>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</si>
  <si>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</si>
  <si>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</si>
  <si>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</si>
  <si>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</si>
  <si>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</si>
  <si>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</si>
  <si>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</si>
  <si>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</si>
  <si>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</si>
  <si>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</si>
  <si>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</si>
  <si>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</si>
  <si>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</si>
  <si>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</si>
  <si>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</si>
  <si>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</si>
  <si>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</si>
  <si>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</si>
  <si>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</si>
  <si>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</si>
  <si>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</si>
  <si>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</si>
  <si>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</si>
  <si>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</si>
  <si>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</si>
  <si>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</si>
  <si>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</si>
  <si>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</si>
  <si>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</si>
  <si>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</si>
  <si>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</si>
  <si>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</si>
  <si>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</si>
  <si>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</si>
  <si>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</si>
  <si>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</si>
  <si>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</si>
  <si>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</si>
  <si>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</si>
  <si>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</si>
  <si>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</si>
  <si>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</si>
  <si>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</si>
  <si>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</si>
  <si>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</si>
  <si>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</si>
  <si>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</si>
  <si>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</si>
  <si>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</si>
  <si>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</si>
  <si>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</si>
  <si>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</si>
  <si>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</si>
  <si>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</si>
  <si>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</si>
  <si>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</si>
  <si>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</si>
  <si>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</si>
  <si>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</si>
  <si>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</si>
  <si>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</si>
  <si>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</si>
  <si>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</si>
  <si>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</si>
  <si>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</si>
  <si>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</si>
  <si>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</si>
  <si>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</si>
  <si>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</si>
  <si>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</si>
  <si>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</si>
  <si>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</si>
  <si>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</si>
  <si>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</si>
  <si>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</si>
  <si>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</si>
  <si>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</si>
  <si>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</si>
  <si>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</si>
  <si>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</si>
  <si>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</si>
  <si>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</si>
  <si>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</si>
  <si>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</si>
  <si>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</si>
  <si>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</si>
  <si>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</si>
  <si>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</si>
  <si>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</si>
  <si>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</si>
  <si>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</si>
  <si>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</si>
  <si>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</si>
  <si>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</si>
  <si>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</si>
  <si>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</si>
  <si>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</si>
  <si>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</si>
  <si>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</si>
  <si>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</si>
  <si>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</si>
  <si>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</si>
  <si>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</si>
  <si>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</si>
  <si>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</si>
  <si>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</si>
  <si>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</si>
  <si>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</si>
  <si>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</si>
  <si>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</si>
  <si>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</si>
  <si>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</si>
  <si>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</si>
  <si>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</si>
  <si>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</si>
  <si>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</si>
  <si>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</si>
  <si>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</si>
  <si>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</si>
  <si>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</si>
  <si>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</si>
  <si>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</si>
  <si>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</si>
  <si>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</si>
  <si>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</si>
  <si>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</si>
  <si>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</si>
  <si>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</si>
  <si>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</si>
  <si>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</si>
  <si>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</si>
  <si>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</si>
  <si>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</si>
  <si>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</si>
  <si>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</si>
  <si>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</si>
  <si>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</si>
  <si>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</si>
  <si>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</si>
  <si>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</si>
  <si>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</si>
  <si>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</si>
  <si>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</si>
  <si>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</si>
  <si>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</si>
  <si>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</si>
  <si>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</si>
  <si>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</si>
  <si>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</si>
  <si>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</si>
  <si>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</si>
  <si>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</si>
  <si>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</si>
  <si>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</si>
  <si>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</si>
  <si>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</si>
  <si>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</si>
  <si>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</si>
  <si>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</si>
  <si>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</si>
  <si>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</si>
  <si>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</si>
  <si>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</si>
  <si>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</si>
  <si>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</si>
  <si>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</si>
  <si>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</si>
  <si>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</si>
  <si>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</si>
  <si>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</si>
  <si>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</si>
  <si>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</si>
  <si>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</si>
  <si>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</si>
  <si>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</si>
  <si>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</si>
  <si>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</si>
  <si>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</si>
  <si>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</si>
  <si>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</si>
  <si>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</si>
  <si>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</si>
  <si>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</si>
  <si>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</si>
  <si>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</si>
  <si>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</si>
  <si>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</si>
  <si>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</si>
  <si>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</si>
  <si>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</si>
  <si>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</si>
  <si>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</si>
  <si>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</si>
  <si>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</si>
  <si>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</si>
  <si>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</si>
  <si>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</si>
  <si>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</si>
  <si>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</si>
  <si>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</si>
  <si>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</si>
  <si>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</si>
  <si>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</si>
  <si>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</si>
  <si>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</si>
  <si>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</si>
  <si>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</si>
  <si>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</si>
  <si>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</si>
  <si>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</si>
  <si>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</si>
  <si>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</si>
  <si>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</si>
  <si>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</si>
  <si>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</si>
  <si>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</si>
  <si>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</si>
  <si>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</si>
  <si>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</si>
  <si>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</si>
  <si>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</si>
  <si>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</si>
  <si>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</si>
  <si>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</si>
  <si>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</si>
  <si>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</si>
  <si>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</si>
  <si>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</si>
  <si>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</si>
  <si>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</si>
  <si>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</si>
  <si>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</si>
  <si>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</si>
  <si>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</si>
  <si>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</si>
  <si>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</si>
  <si>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</si>
  <si>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</si>
  <si>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</si>
  <si>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</si>
  <si>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</si>
  <si>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</si>
  <si>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</si>
  <si>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</si>
  <si>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</si>
  <si>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</si>
  <si>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</si>
  <si>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</si>
  <si>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</si>
  <si>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</si>
  <si>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</si>
  <si>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</si>
  <si>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</si>
  <si>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</si>
  <si>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</si>
  <si>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</si>
  <si>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</si>
  <si>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</si>
  <si>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</si>
  <si>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</si>
  <si>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</si>
  <si>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</si>
  <si>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</si>
  <si>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</si>
  <si>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</si>
  <si>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</si>
  <si>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</si>
  <si>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</si>
  <si>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</si>
  <si>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</si>
  <si>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</si>
  <si>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</si>
  <si>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</si>
  <si>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</si>
  <si>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</si>
  <si>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</si>
  <si>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</si>
  <si>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</si>
  <si>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</si>
  <si>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</si>
  <si>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</si>
  <si>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</si>
  <si>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</si>
  <si>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</si>
  <si>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</si>
  <si>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</si>
  <si>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</si>
  <si>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</si>
  <si>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</si>
  <si>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</si>
  <si>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</si>
  <si>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</si>
  <si>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</si>
  <si>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</si>
  <si>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</si>
  <si>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</si>
  <si>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</si>
  <si>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</si>
  <si>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</si>
  <si>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</si>
  <si>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</si>
  <si>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</si>
  <si>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</si>
  <si>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</si>
  <si>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</si>
  <si>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</si>
  <si>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</si>
  <si>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</si>
  <si>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</si>
  <si>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</si>
  <si>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</si>
  <si>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</si>
  <si>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</si>
  <si>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</si>
  <si>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</si>
  <si>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</si>
  <si>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</si>
  <si>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</si>
  <si>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</si>
  <si>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</si>
  <si>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</si>
  <si>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</si>
  <si>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</si>
  <si>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</si>
  <si>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</si>
  <si>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</si>
  <si>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</si>
  <si>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</si>
  <si>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</si>
  <si>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</si>
  <si>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</si>
  <si>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</si>
  <si>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</si>
  <si>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</si>
  <si>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</si>
  <si>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</si>
  <si>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</si>
  <si>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</si>
  <si>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</si>
  <si>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</si>
  <si>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</si>
  <si>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</si>
  <si>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</si>
  <si>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</si>
  <si>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</si>
  <si>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</si>
  <si>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</si>
  <si>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</si>
  <si>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</si>
  <si>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</si>
  <si>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</si>
  <si>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</si>
  <si>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</si>
  <si>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</si>
  <si>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</si>
  <si>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</si>
  <si>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</si>
  <si>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</si>
  <si>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</si>
  <si>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</si>
  <si>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</si>
  <si>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</si>
  <si>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</si>
  <si>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</si>
  <si>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</si>
  <si>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</si>
  <si>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</si>
  <si>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</si>
  <si>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</si>
  <si>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</si>
  <si>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</si>
  <si>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</si>
  <si>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</si>
  <si>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</si>
  <si>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</si>
  <si>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</si>
  <si>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</si>
  <si>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</si>
  <si>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</si>
  <si>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</si>
  <si>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</si>
  <si>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</si>
  <si>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</si>
  <si>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</si>
  <si>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</si>
  <si>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</si>
  <si>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</si>
  <si>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</si>
  <si>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</si>
  <si>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</si>
  <si>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</si>
  <si>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</si>
  <si>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</si>
  <si>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</si>
  <si>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</si>
  <si>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</si>
  <si>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</si>
  <si>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</si>
  <si>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</si>
  <si>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</si>
  <si>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</si>
  <si>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</si>
  <si>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</si>
  <si>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</si>
  <si>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</si>
  <si>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</si>
  <si>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</si>
  <si>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</si>
  <si>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</si>
  <si>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</si>
  <si>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</si>
  <si>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</si>
  <si>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</si>
  <si>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</si>
  <si>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</si>
  <si>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</si>
  <si>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</si>
  <si>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</si>
  <si>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</si>
  <si>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</si>
  <si>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</si>
  <si>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</si>
  <si>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</si>
  <si>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</si>
  <si>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</si>
  <si>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</si>
  <si>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</si>
  <si>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</si>
  <si>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</si>
  <si>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</si>
  <si>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</si>
  <si>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</si>
  <si>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</si>
  <si>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</si>
  <si>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</si>
  <si>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</si>
  <si>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</si>
  <si>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</si>
  <si>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</si>
  <si>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</si>
  <si>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</si>
  <si>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</si>
  <si>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</si>
  <si>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</si>
  <si>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</si>
  <si>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</si>
  <si>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</si>
  <si>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</si>
  <si>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</si>
  <si>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</si>
  <si>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</si>
  <si>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</si>
  <si>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</si>
  <si>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</si>
  <si>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</si>
  <si>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</si>
  <si>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</si>
  <si>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</si>
  <si>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</si>
  <si>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</si>
  <si>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</si>
  <si>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</si>
  <si>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</si>
  <si>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</si>
  <si>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</si>
  <si>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</si>
  <si>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</si>
  <si>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</si>
  <si>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</si>
  <si>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</si>
  <si>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</si>
  <si>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</si>
  <si>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</si>
  <si>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</si>
  <si>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</si>
  <si>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</si>
  <si>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</si>
  <si>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</si>
  <si>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</si>
  <si>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</si>
  <si>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</si>
  <si>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</si>
  <si>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</si>
  <si>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</si>
  <si>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</si>
  <si>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</si>
  <si>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</si>
  <si>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</si>
  <si>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</si>
  <si>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</si>
  <si>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</si>
  <si>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</si>
  <si>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</si>
  <si>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</si>
  <si>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</si>
  <si>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</si>
  <si>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</si>
  <si>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</si>
  <si>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</si>
  <si>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</si>
  <si>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</si>
  <si>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</si>
  <si>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</si>
  <si>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</si>
  <si>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</si>
  <si>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</si>
  <si>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</si>
  <si>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</si>
  <si>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</si>
  <si>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</si>
  <si>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</si>
  <si>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</si>
  <si>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</si>
  <si>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</si>
  <si>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</si>
  <si>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</si>
  <si>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</si>
  <si>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</si>
  <si>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</si>
  <si>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</si>
  <si>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</si>
  <si>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</si>
  <si>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</si>
  <si>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</si>
  <si>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</si>
  <si>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</si>
  <si>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</si>
  <si>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</si>
  <si>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</si>
  <si>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</si>
  <si>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</si>
  <si>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</si>
  <si>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</si>
  <si>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</si>
  <si>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</si>
  <si>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</si>
  <si>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</si>
  <si>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</si>
  <si>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</si>
  <si>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</si>
  <si>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</si>
  <si>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</si>
  <si>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</si>
  <si>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</si>
  <si>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</si>
  <si>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</si>
  <si>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</si>
  <si>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</si>
  <si>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</si>
  <si>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</si>
  <si>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</si>
  <si>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</si>
  <si>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</si>
  <si>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</si>
  <si>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</si>
  <si>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</si>
  <si>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</si>
  <si>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</si>
  <si>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</si>
  <si>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</si>
  <si>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</si>
  <si>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</si>
  <si>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</si>
  <si>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</si>
  <si>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</si>
  <si>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</si>
  <si>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</si>
  <si>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</si>
  <si>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</si>
  <si>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</si>
  <si>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</si>
  <si>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</si>
  <si>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</si>
  <si>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</si>
  <si>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</si>
  <si>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</si>
  <si>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</si>
  <si>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</si>
  <si>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</si>
  <si>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</si>
  <si>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</si>
  <si>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</si>
  <si>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</si>
  <si>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</si>
  <si>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</si>
  <si>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</si>
  <si>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</si>
  <si>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</si>
  <si>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</si>
  <si>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</si>
  <si>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</si>
  <si>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</si>
  <si>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</si>
  <si>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</si>
  <si>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</si>
  <si>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</si>
  <si>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</si>
  <si>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</si>
  <si>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</si>
  <si>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</si>
  <si>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</si>
  <si>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</si>
  <si>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</si>
  <si>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</si>
  <si>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</si>
  <si>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</si>
  <si>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</si>
  <si>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</si>
  <si>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</si>
  <si>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</si>
  <si>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</si>
  <si>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</si>
  <si>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</si>
  <si>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</si>
  <si>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</si>
  <si>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</si>
  <si>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</si>
  <si>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</si>
  <si>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</si>
  <si>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</si>
  <si>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</si>
  <si>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</si>
  <si>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</si>
  <si>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</si>
  <si>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</si>
  <si>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</si>
  <si>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</si>
  <si>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</si>
  <si>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</si>
  <si>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</si>
  <si>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</si>
  <si>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</si>
  <si>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</si>
  <si>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</si>
  <si>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</si>
  <si>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</si>
  <si>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</si>
  <si>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</si>
  <si>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</si>
  <si>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</si>
  <si>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</si>
  <si>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</si>
  <si>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</si>
  <si>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</si>
  <si>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</si>
  <si>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</si>
  <si>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</si>
  <si>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</si>
  <si>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</si>
  <si>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</si>
  <si>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</si>
  <si>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</si>
  <si>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</si>
  <si>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</si>
  <si>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</si>
  <si>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</si>
  <si>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</si>
  <si>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</si>
  <si>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</si>
  <si>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</si>
  <si>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</si>
  <si>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</si>
  <si>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</si>
  <si>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</si>
  <si>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</si>
  <si>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</si>
  <si>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</si>
  <si>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</si>
  <si>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</si>
  <si>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</si>
  <si>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</si>
  <si>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</si>
  <si>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</si>
  <si>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</si>
  <si>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</si>
  <si>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</si>
  <si>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</si>
  <si>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</si>
  <si>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</si>
  <si>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</si>
  <si>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</si>
  <si>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</si>
  <si>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</si>
  <si>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</si>
  <si>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</si>
  <si>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</si>
  <si>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</si>
  <si>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</si>
  <si>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</si>
  <si>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</si>
  <si>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</si>
  <si>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</si>
  <si>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</si>
  <si>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</si>
  <si>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</si>
  <si>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</si>
  <si>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</si>
  <si>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</si>
  <si>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</si>
  <si>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</si>
  <si>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</si>
  <si>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</si>
  <si>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</si>
  <si>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</si>
  <si>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</si>
  <si>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</si>
  <si>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</si>
  <si>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</si>
  <si>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</si>
  <si>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</si>
  <si>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</si>
  <si>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</si>
  <si>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</si>
  <si>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</si>
  <si>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</si>
  <si>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</si>
  <si>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</si>
  <si>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</si>
  <si>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</si>
  <si>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</si>
  <si>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</si>
  <si>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</si>
  <si>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</si>
  <si>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</si>
  <si>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</si>
  <si>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</si>
  <si>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</si>
  <si>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</si>
  <si>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</si>
  <si>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</si>
  <si>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</si>
  <si>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</si>
  <si>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</si>
  <si>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</si>
  <si>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</si>
  <si>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</si>
  <si>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</si>
  <si>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</si>
  <si>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</si>
  <si>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</si>
  <si>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</si>
  <si>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</si>
  <si>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</si>
  <si>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</si>
  <si>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</si>
  <si>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</si>
  <si>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</si>
  <si>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</si>
  <si>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</si>
  <si>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</si>
  <si>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</si>
  <si>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</si>
  <si>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</si>
  <si>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</si>
  <si>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</si>
  <si>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</si>
  <si>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</si>
  <si>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</si>
  <si>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</si>
  <si>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</si>
  <si>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</si>
  <si>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</si>
  <si>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</si>
  <si>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</si>
  <si>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</si>
  <si>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</si>
  <si>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</si>
  <si>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</si>
  <si>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</si>
  <si>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</si>
  <si>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</si>
  <si>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</si>
  <si>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</si>
  <si>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</si>
  <si>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</si>
  <si>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</si>
  <si>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</si>
  <si>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</si>
  <si>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</si>
  <si>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</si>
  <si>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</si>
  <si>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</si>
  <si>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</si>
  <si>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</si>
  <si>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</si>
  <si>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</si>
  <si>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</si>
  <si>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</si>
  <si>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</si>
  <si>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</si>
  <si>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</si>
  <si>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</si>
  <si>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</si>
  <si>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</si>
  <si>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</si>
  <si>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</si>
  <si>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</si>
  <si>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</si>
  <si>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</si>
  <si>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</si>
  <si>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</si>
  <si>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</si>
  <si>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</si>
  <si>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</si>
  <si>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</si>
  <si>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</si>
  <si>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</si>
  <si>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</si>
  <si>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</si>
  <si>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</si>
  <si>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</si>
  <si>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</si>
  <si>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</si>
  <si>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</si>
  <si>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</si>
  <si>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</si>
  <si>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</si>
  <si>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</si>
  <si>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</si>
  <si>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</si>
  <si>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</si>
  <si>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</si>
  <si>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</si>
  <si>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</si>
  <si>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</si>
  <si>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</si>
  <si>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</si>
  <si>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</si>
  <si>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</si>
  <si>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</si>
  <si>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</si>
  <si>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</si>
  <si>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</si>
  <si>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</si>
  <si>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</si>
  <si>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</si>
  <si>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</si>
  <si>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</si>
  <si>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</si>
  <si>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</si>
  <si>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</si>
  <si>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</si>
  <si>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</si>
  <si>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</si>
  <si>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</si>
  <si>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</si>
  <si>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</si>
  <si>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</si>
  <si>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</si>
  <si>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</si>
  <si>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</si>
  <si>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</si>
  <si>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</si>
  <si>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</si>
  <si>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</si>
  <si>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</si>
  <si>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</si>
  <si>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</si>
  <si>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</si>
  <si>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</si>
  <si>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</si>
  <si>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</si>
  <si>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</si>
  <si>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</si>
  <si>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</si>
  <si>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</si>
  <si>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</si>
  <si>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</si>
  <si>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</si>
  <si>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</si>
  <si>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</si>
  <si>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</si>
  <si>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</si>
  <si>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</si>
  <si>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</si>
  <si>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</si>
  <si>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</si>
  <si>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</si>
  <si>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</si>
  <si>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</si>
  <si>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</si>
  <si>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</si>
  <si>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</si>
  <si>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</si>
  <si>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</si>
  <si>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</si>
  <si>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</si>
  <si>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</si>
  <si>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</si>
  <si>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</si>
  <si>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</si>
  <si>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</si>
  <si>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</si>
  <si>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</si>
  <si>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</si>
  <si>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</si>
  <si>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</si>
  <si>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</si>
  <si>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</si>
  <si>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</si>
  <si>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</si>
  <si>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</si>
  <si>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</si>
  <si>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</si>
  <si>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</si>
  <si>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</si>
  <si>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</si>
  <si>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</si>
  <si>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</si>
  <si>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</si>
  <si>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</si>
  <si>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</si>
  <si>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</si>
  <si>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</si>
  <si>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</si>
  <si>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</si>
  <si>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</si>
  <si>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</si>
  <si>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</si>
  <si>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</si>
  <si>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</si>
  <si>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</si>
  <si>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</si>
  <si>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</si>
  <si>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</si>
  <si>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</si>
  <si>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</si>
  <si>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</si>
  <si>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</si>
  <si>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</si>
  <si>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</si>
  <si>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</si>
  <si>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</si>
  <si>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</si>
  <si>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</si>
  <si>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</si>
  <si>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</si>
  <si>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</si>
  <si>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</si>
  <si>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</si>
  <si>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</si>
  <si>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</si>
  <si>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</si>
  <si>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</si>
  <si>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</si>
  <si>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</si>
  <si>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</si>
  <si>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</si>
  <si>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</si>
  <si>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</si>
  <si>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</si>
  <si>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</si>
  <si>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</si>
  <si>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</si>
  <si>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</si>
  <si>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</si>
  <si>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</si>
  <si>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</si>
  <si>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</si>
  <si>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</si>
  <si>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</si>
  <si>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</si>
  <si>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</si>
  <si>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</si>
  <si>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</si>
  <si>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</si>
  <si>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</si>
  <si>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</si>
  <si>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</si>
  <si>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</si>
  <si>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</si>
  <si>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</si>
  <si>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</si>
  <si>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</si>
  <si>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</si>
  <si>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</si>
  <si>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</si>
  <si>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</si>
  <si>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</si>
  <si>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</si>
  <si>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</si>
  <si>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</si>
  <si>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</si>
  <si>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</si>
  <si>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</si>
  <si>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</si>
  <si>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</si>
  <si>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</si>
  <si>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</si>
  <si>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</si>
  <si>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</si>
  <si>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</si>
  <si>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</si>
  <si>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</si>
  <si>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</si>
  <si>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</si>
  <si>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</si>
  <si>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</si>
  <si>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</si>
  <si>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</si>
  <si>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</si>
  <si>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</si>
  <si>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</si>
  <si>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</si>
  <si>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</si>
  <si>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</si>
  <si>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</si>
  <si>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</si>
  <si>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</si>
  <si>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</si>
  <si>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</si>
  <si>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</si>
  <si>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</si>
  <si>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</si>
  <si>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</si>
  <si>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</si>
  <si>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</si>
  <si>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</si>
  <si>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</si>
  <si>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</si>
  <si>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</si>
  <si>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</si>
  <si>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</si>
  <si>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</si>
  <si>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</si>
  <si>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</si>
  <si>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</si>
  <si>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</si>
  <si>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</si>
  <si>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</si>
  <si>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</si>
  <si>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</si>
  <si>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</si>
  <si>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</si>
  <si>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</si>
  <si>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</si>
  <si>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</si>
  <si>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</si>
  <si>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</si>
  <si>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</si>
  <si>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</si>
  <si>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</si>
  <si>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</si>
  <si>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</si>
  <si>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</si>
  <si>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</si>
  <si>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</si>
  <si>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</si>
  <si>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</si>
  <si>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</si>
  <si>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</si>
  <si>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</si>
  <si>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</si>
  <si>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</si>
  <si>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</si>
  <si>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</si>
  <si>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</si>
  <si>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</si>
  <si>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</si>
  <si>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</si>
  <si>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</si>
  <si>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</si>
  <si>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</si>
  <si>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</si>
  <si>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</si>
  <si>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</si>
  <si>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</si>
  <si>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</si>
  <si>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</si>
  <si>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</si>
  <si>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</si>
  <si>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</si>
  <si>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</si>
  <si>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</si>
  <si>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</si>
  <si>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</si>
  <si>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</si>
  <si>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</si>
  <si>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</si>
  <si>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</si>
  <si>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</si>
  <si>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</si>
  <si>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</si>
  <si>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</si>
  <si>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</si>
  <si>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</si>
  <si>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</si>
  <si>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</si>
  <si>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</si>
  <si>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</si>
  <si>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</si>
  <si>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</si>
  <si>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</si>
  <si>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</si>
  <si>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</si>
  <si>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</si>
  <si>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</si>
  <si>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</si>
  <si>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</si>
  <si>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</si>
  <si>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</si>
  <si>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</si>
  <si>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</si>
  <si>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</si>
  <si>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</si>
  <si>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</si>
  <si>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</si>
  <si>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</si>
  <si>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</si>
  <si>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</si>
  <si>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</si>
  <si>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</si>
  <si>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</si>
  <si>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</si>
  <si>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</si>
  <si>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</si>
  <si>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</si>
  <si>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</si>
  <si>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</si>
  <si>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</si>
  <si>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</si>
  <si>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</si>
  <si>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</si>
  <si>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</si>
  <si>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</si>
  <si>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</si>
  <si>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</si>
  <si>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</si>
  <si>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</si>
  <si>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</si>
  <si>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</si>
  <si>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</si>
  <si>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</si>
  <si>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</si>
  <si>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</si>
  <si>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</si>
  <si>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</si>
  <si>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</si>
  <si>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</si>
  <si>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</si>
  <si>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</si>
  <si>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</si>
  <si>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</si>
  <si>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</si>
  <si>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</si>
  <si>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</si>
  <si>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</si>
  <si>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</si>
  <si>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</si>
  <si>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</si>
  <si>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</si>
  <si>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</si>
  <si>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</si>
  <si>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</si>
  <si>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</si>
  <si>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</si>
  <si>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</si>
  <si>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</si>
  <si>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</si>
  <si>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</si>
  <si>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</si>
  <si>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</si>
  <si>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</si>
  <si>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</si>
  <si>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</si>
  <si>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</si>
  <si>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</si>
  <si>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</si>
  <si>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</si>
  <si>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</si>
  <si>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</si>
  <si>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</si>
  <si>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</si>
  <si>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</si>
  <si>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</si>
  <si>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</si>
  <si>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</si>
  <si>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</si>
  <si>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</si>
  <si>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</si>
  <si>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</si>
  <si>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</si>
  <si>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</si>
  <si>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</si>
  <si>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</si>
  <si>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</si>
  <si>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</si>
  <si>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</si>
  <si>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</si>
  <si>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</si>
  <si>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</si>
  <si>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</si>
  <si>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</si>
  <si>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</si>
  <si>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</si>
  <si>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</si>
  <si>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</si>
  <si>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</si>
  <si>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</si>
  <si>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</si>
  <si>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</si>
  <si>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</si>
  <si>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</si>
  <si>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</si>
  <si>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</si>
  <si>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</si>
  <si>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</si>
  <si>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</si>
  <si>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</si>
  <si>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</si>
  <si>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</si>
  <si>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</si>
  <si>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</si>
  <si>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</si>
  <si>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</si>
  <si>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</si>
  <si>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</si>
  <si>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</si>
  <si>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</si>
  <si>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</si>
  <si>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</si>
  <si>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</si>
  <si>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</si>
  <si>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</si>
  <si>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</si>
  <si>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</si>
  <si>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</si>
  <si>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</si>
  <si>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</si>
  <si>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</si>
  <si>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</si>
  <si>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</si>
  <si>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</si>
  <si>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</si>
  <si>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</si>
  <si>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</si>
  <si>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</si>
  <si>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</si>
  <si>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</si>
  <si>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</si>
  <si>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</si>
  <si>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</si>
  <si>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</si>
  <si>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</si>
  <si>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</si>
  <si>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</si>
  <si>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</si>
  <si>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</si>
  <si>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</si>
  <si>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</si>
  <si>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</si>
  <si>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</si>
  <si>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</si>
  <si>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</si>
  <si>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</si>
  <si>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</si>
  <si>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</si>
  <si>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</si>
  <si>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</si>
  <si>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</si>
  <si>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</si>
  <si>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</si>
  <si>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</si>
  <si>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</si>
  <si>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</si>
  <si>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</si>
  <si>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</si>
  <si>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</si>
  <si>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</si>
  <si>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</si>
  <si>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</si>
  <si>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</si>
  <si>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</si>
  <si>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</si>
  <si>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</si>
  <si>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</si>
  <si>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</si>
  <si>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</si>
  <si>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</si>
  <si>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</si>
  <si>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</si>
  <si>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</si>
  <si>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</si>
  <si>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</si>
  <si>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</si>
  <si>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</si>
  <si>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</si>
  <si>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</si>
  <si>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</si>
  <si>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</si>
  <si>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</si>
  <si>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</si>
  <si>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</si>
  <si>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</si>
  <si>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</si>
  <si>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</si>
  <si>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</si>
  <si>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</si>
  <si>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</si>
  <si>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</si>
  <si>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</si>
  <si>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</si>
  <si>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</si>
  <si>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</si>
  <si>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</si>
  <si>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</si>
  <si>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</si>
  <si>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</si>
  <si>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</si>
  <si>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</si>
  <si>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</si>
  <si>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</si>
  <si>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</si>
  <si>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</si>
  <si>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</si>
  <si>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</si>
  <si>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</si>
  <si>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</si>
  <si>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</si>
  <si>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</si>
  <si>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</si>
  <si>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</si>
  <si>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</si>
  <si>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</si>
  <si>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</si>
  <si>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</si>
  <si>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</si>
  <si>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</si>
  <si>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</si>
  <si>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</si>
  <si>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</si>
  <si>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</si>
  <si>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</si>
  <si>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</si>
  <si>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</si>
  <si>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</si>
  <si>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</si>
  <si>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</si>
  <si>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</si>
  <si>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</si>
  <si>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</si>
  <si>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</si>
  <si>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</si>
  <si>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</si>
  <si>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</si>
  <si>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</si>
  <si>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</si>
  <si>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</si>
  <si>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</si>
  <si>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</si>
  <si>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</si>
  <si>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</si>
  <si>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</si>
  <si>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</si>
  <si>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</si>
  <si>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</si>
  <si>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</si>
  <si>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</si>
  <si>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</si>
  <si>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</si>
  <si>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</si>
  <si>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</si>
  <si>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</si>
  <si>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</si>
  <si>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</si>
  <si>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</si>
  <si>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</si>
  <si>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</si>
  <si>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</si>
  <si>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</si>
  <si>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</si>
  <si>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</si>
  <si>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</si>
  <si>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</si>
  <si>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</si>
  <si>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</si>
  <si>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</si>
  <si>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</si>
  <si>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</si>
  <si>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</si>
  <si>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</si>
  <si>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</si>
  <si>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</si>
  <si>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</si>
  <si>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</si>
  <si>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</si>
  <si>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</si>
  <si>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</si>
  <si>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</si>
  <si>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</si>
  <si>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</si>
  <si>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</si>
  <si>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</si>
  <si>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</si>
  <si>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</si>
  <si>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</si>
  <si>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</si>
  <si>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</si>
  <si>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</si>
  <si>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</si>
  <si>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</si>
  <si>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</si>
  <si>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</si>
  <si>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</si>
  <si>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</si>
  <si>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</si>
  <si>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</si>
  <si>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</si>
  <si>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</si>
  <si>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</si>
  <si>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</si>
  <si>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</si>
  <si>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</si>
  <si>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</si>
  <si>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</si>
  <si>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</si>
  <si>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</si>
  <si>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</si>
  <si>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</si>
  <si>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</si>
  <si>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</si>
  <si>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</si>
  <si>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</si>
  <si>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</si>
  <si>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</si>
  <si>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</si>
  <si>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</si>
  <si>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</si>
  <si>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</si>
  <si>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</si>
  <si>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</si>
  <si>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</si>
  <si>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</si>
  <si>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</si>
  <si>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</si>
  <si>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</si>
  <si>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</si>
  <si>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</si>
  <si>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</si>
  <si>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</si>
  <si>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</si>
  <si>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</si>
  <si>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</si>
  <si>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</si>
  <si>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</si>
  <si>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</si>
  <si>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</si>
  <si>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</si>
  <si>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</si>
  <si>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</si>
  <si>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</si>
  <si>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</si>
  <si>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</si>
  <si>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</si>
  <si>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</si>
  <si>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</si>
  <si>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</si>
  <si>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</si>
  <si>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</si>
  <si>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</si>
  <si>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</si>
  <si>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</si>
  <si>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</si>
  <si>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</si>
  <si>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</si>
  <si>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</si>
  <si>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</si>
  <si>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</si>
  <si>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</si>
  <si>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</si>
  <si>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</si>
  <si>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</si>
  <si>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</si>
  <si>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</si>
  <si>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</si>
  <si>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</si>
  <si>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</si>
  <si>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</si>
  <si>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</si>
  <si>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</si>
  <si>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</si>
  <si>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</si>
  <si>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</si>
  <si>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</si>
  <si>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</si>
  <si>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</si>
  <si>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</si>
  <si>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</si>
  <si>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</si>
  <si>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</si>
  <si>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</si>
  <si>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</si>
  <si>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</si>
  <si>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</si>
  <si>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</si>
  <si>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</si>
  <si>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</si>
  <si>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</si>
  <si>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</si>
  <si>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</si>
  <si>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</si>
  <si>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</si>
  <si>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</si>
  <si>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</si>
  <si>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</si>
  <si>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</si>
  <si>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</si>
  <si>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</si>
  <si>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</si>
  <si>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</si>
  <si>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</si>
  <si>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</si>
  <si>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</si>
  <si>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</si>
  <si>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</si>
  <si>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</si>
  <si>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</si>
  <si>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</si>
  <si>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</si>
  <si>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</si>
  <si>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</si>
  <si>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</si>
  <si>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</si>
  <si>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</si>
  <si>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</si>
  <si>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</si>
  <si>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</si>
  <si>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</si>
  <si>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</si>
  <si>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</si>
  <si>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</si>
  <si>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</si>
  <si>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</si>
  <si>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</si>
  <si>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</si>
  <si>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</si>
  <si>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</si>
  <si>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</si>
  <si>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</si>
  <si>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</si>
  <si>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</si>
  <si>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</si>
  <si>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</si>
  <si>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</si>
  <si>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</si>
  <si>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</si>
  <si>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</si>
  <si>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</si>
  <si>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</si>
  <si>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</si>
  <si>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</si>
  <si>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</si>
  <si>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</si>
  <si>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</si>
  <si>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</si>
  <si>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</si>
  <si>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</si>
  <si>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</si>
  <si>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</si>
  <si>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</si>
  <si>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</si>
  <si>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</si>
  <si>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</si>
  <si>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</si>
  <si>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</si>
  <si>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</si>
  <si>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</si>
  <si>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</si>
  <si>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</si>
  <si>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</si>
  <si>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</si>
  <si>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</si>
  <si>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</si>
  <si>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</si>
  <si>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</si>
  <si>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</si>
  <si>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</si>
  <si>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</si>
  <si>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</si>
  <si>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</si>
  <si>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</si>
  <si>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</si>
  <si>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</si>
  <si>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</si>
  <si>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</si>
  <si>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</si>
  <si>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</si>
  <si>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</si>
  <si>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</si>
  <si>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</si>
  <si>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</si>
  <si>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</si>
  <si>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</si>
  <si>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</si>
  <si>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</si>
  <si>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</si>
  <si>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</si>
  <si>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</si>
  <si>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</si>
  <si>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</si>
  <si>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</si>
  <si>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</si>
  <si>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</si>
  <si>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</si>
  <si>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</si>
  <si>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</si>
  <si>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</si>
  <si>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</si>
  <si>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</si>
  <si>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</si>
  <si>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</si>
  <si>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</si>
  <si>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</si>
  <si>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</si>
  <si>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</si>
  <si>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</si>
  <si>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</si>
  <si>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</si>
  <si>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</si>
  <si>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</si>
  <si>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</si>
  <si>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</si>
  <si>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</si>
  <si>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</si>
  <si>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</si>
  <si>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</si>
  <si>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</si>
  <si>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</si>
  <si>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</si>
  <si>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</si>
  <si>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</si>
  <si>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</si>
  <si>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</si>
  <si>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</si>
  <si>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</si>
  <si>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</si>
  <si>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</si>
  <si>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</si>
  <si>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</si>
  <si>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</si>
  <si>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</si>
  <si>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</si>
  <si>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</si>
  <si>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</si>
  <si>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</si>
  <si>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</si>
  <si>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</si>
  <si>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</si>
  <si>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</si>
  <si>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</si>
  <si>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</si>
  <si>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</si>
  <si>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</si>
  <si>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</si>
  <si>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</si>
  <si>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</si>
  <si>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</si>
  <si>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</si>
  <si>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</si>
  <si>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</si>
  <si>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</si>
  <si>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</si>
  <si>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</si>
  <si>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</si>
  <si>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</si>
  <si>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</si>
  <si>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</si>
  <si>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</si>
  <si>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</si>
  <si>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</si>
  <si>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</si>
  <si>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</si>
  <si>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</si>
  <si>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</si>
  <si>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</si>
  <si>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</si>
  <si>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</si>
  <si>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</si>
  <si>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</si>
  <si>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</si>
  <si>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</si>
  <si>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</si>
  <si>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</si>
  <si>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</si>
  <si>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</si>
  <si>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</si>
  <si>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</si>
  <si>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</si>
  <si>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</si>
  <si>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</si>
  <si>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</si>
  <si>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</si>
  <si>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</si>
  <si>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</si>
  <si>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</si>
  <si>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</si>
  <si>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</si>
  <si>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</si>
  <si>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</si>
  <si>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</si>
  <si>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</si>
  <si>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</si>
  <si>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</si>
  <si>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</si>
  <si>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</si>
  <si>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</si>
  <si>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</si>
  <si>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</si>
  <si>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</si>
  <si>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</si>
  <si>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</si>
  <si>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</si>
  <si>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</si>
  <si>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</si>
  <si>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</si>
  <si>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</si>
  <si>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</si>
  <si>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</si>
  <si>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</si>
  <si>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</si>
  <si>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</si>
  <si>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</si>
  <si>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</si>
  <si>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</si>
  <si>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</si>
  <si>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</si>
  <si>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</si>
  <si>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</si>
  <si>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</si>
  <si>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</si>
  <si>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</si>
  <si>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</si>
  <si>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</si>
  <si>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Age category</t>
  </si>
  <si>
    <t>Count of Patient ID</t>
  </si>
  <si>
    <t>Row Labels</t>
  </si>
  <si>
    <t>Grand Total</t>
  </si>
  <si>
    <t>Count of Gender</t>
  </si>
  <si>
    <t>.</t>
  </si>
  <si>
    <t>Average of Insurance Coverage %</t>
  </si>
  <si>
    <t>Average length of stay</t>
  </si>
  <si>
    <t>Paid Amount</t>
  </si>
  <si>
    <t>Count of Payment Status</t>
  </si>
  <si>
    <t>Count of Department</t>
  </si>
  <si>
    <t>66 &amp; above</t>
  </si>
  <si>
    <t>btw 18 &amp; 35</t>
  </si>
  <si>
    <t>btw 36 &amp;50</t>
  </si>
  <si>
    <t>btw 51 &amp; 66</t>
  </si>
  <si>
    <t>under 18</t>
  </si>
  <si>
    <t>#N/A</t>
  </si>
  <si>
    <t>Count of Age category</t>
  </si>
  <si>
    <t>2024</t>
  </si>
  <si>
    <t>2025</t>
  </si>
  <si>
    <t>SECURELIFE GENERAL HOSPITAL</t>
  </si>
  <si>
    <t>No. of Patients</t>
  </si>
  <si>
    <t>Sum Total bill amount</t>
  </si>
  <si>
    <t>Average stay lenght</t>
  </si>
  <si>
    <t>Qtr1</t>
  </si>
  <si>
    <t>Qtr2</t>
  </si>
  <si>
    <t>Qtr3</t>
  </si>
  <si>
    <t>Qtr4</t>
  </si>
  <si>
    <t>Jan</t>
  </si>
  <si>
    <t>Feb</t>
  </si>
  <si>
    <t>Mar</t>
  </si>
  <si>
    <t>Apr</t>
  </si>
  <si>
    <t>May</t>
  </si>
  <si>
    <t>Jun</t>
  </si>
  <si>
    <t>Jul</t>
  </si>
  <si>
    <t>Aug</t>
  </si>
  <si>
    <t>Sept</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</si>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</sst>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quot;$&quot;#,##0.00"/>
    <numFmt numFmtId="166" formatCode="0&quot;%&quot;"/>
  </numFmts>
  <fonts count="5" x14ac:knownFonts="1">
    <font>
      <sz val="11"/>
      <color theme="1"/>
      <name val="Aptos Narrow"/>
      <family val="2"/>
      <scheme val="minor"/>
    </font>
    <font>
      <b/>
      <sz val="11"/>
      <color rgb="FFFFFFFF"/>
      <name val="Aptos Narrow"/>
      <family val="2"/>
      <scheme val="minor"/>
    </font>
    <font>
      <sz val="11"/>
      <color theme="1"/>
      <name val="Aptos Narrow"/>
      <family val="2"/>
      <scheme val="minor"/>
    </font>
    <font>
      <sz val="11"/>
      <color theme="2"/>
      <name val="Wide Latin"/>
      <family val="1"/>
    </font>
    <font>
      <u/>
      <sz val="11"/>
      <color theme="1"/>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theme="3"/>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9" fontId="0" fillId="0" borderId="0" xfId="1" applyFont="1"/>
    <xf numFmtId="0" fontId="4" fillId="4" borderId="0" xfId="0" applyFont="1" applyFill="1"/>
    <xf numFmtId="0" fontId="0" fillId="0" borderId="0" xfId="0" applyAlignment="1">
      <alignment horizontal="left" indent="1"/>
    </xf>
    <xf numFmtId="0" fontId="0" fillId="0" borderId="0" xfId="0" applyAlignment="1">
      <alignment horizontal="left" indent="2"/>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STATUS </a:t>
            </a:r>
            <a:endParaRPr lang="en-US" b="1"/>
          </a:p>
        </c:rich>
      </c:tx>
      <c:layout>
        <c:manualLayout>
          <c:xMode val="edge"/>
          <c:yMode val="edge"/>
          <c:x val="0.14309943851955212"/>
          <c:y val="0.145282609992870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402640264026403E-2"/>
          <c:y val="0.29565210290739879"/>
          <c:w val="0.55335533553355332"/>
          <c:h val="0.66484170889149763"/>
        </c:manualLayout>
      </c:layout>
      <c:pie3DChart>
        <c:varyColors val="1"/>
        <c:ser>
          <c:idx val="0"/>
          <c:order val="0"/>
          <c:tx>
            <c:strRef>
              <c:f>'Pivot table'!$B$7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59-4172-ABD6-4250E496A9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59-4172-ABD6-4250E496A9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59-4172-ABD6-4250E496A9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table'!$A$8:$A$10</c:f>
              <c:strCache>
                <c:ptCount val="3"/>
                <c:pt idx="0">
                  <c:v>Paid</c:v>
                </c:pt>
                <c:pt idx="1">
                  <c:v>Partially Paid</c:v>
                </c:pt>
                <c:pt idx="2">
                  <c:v>Pending</c:v>
                </c:pt>
              </c:strCache>
            </c:strRef>
          </c:cat>
          <c:val>
            <c:numRef>
              <c:f>'Pivot table'!$B$8:$B$10</c:f>
              <c:numCache>
                <c:formatCode>General</c:formatCode>
                <c:ptCount val="3"/>
                <c:pt idx="0">
                  <c:v>564</c:v>
                </c:pt>
                <c:pt idx="1">
                  <c:v>179</c:v>
                </c:pt>
                <c:pt idx="2">
                  <c:v>257</c:v>
                </c:pt>
              </c:numCache>
            </c:numRef>
          </c:val>
          <c:extLst>
            <c:ext xmlns:c16="http://schemas.microsoft.com/office/drawing/2014/chart" uri="{C3380CC4-5D6E-409C-BE32-E72D297353CC}">
              <c16:uniqueId val="{00000006-5459-4172-ABD6-4250E496A92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PATIENTS</a:t>
            </a:r>
            <a:r>
              <a:rPr lang="en-US" b="1" baseline="0"/>
              <a:t> BY GENDER</a:t>
            </a:r>
            <a:endParaRPr lang="en-US" b="1"/>
          </a:p>
        </c:rich>
      </c:tx>
      <c:layout>
        <c:manualLayout>
          <c:xMode val="edge"/>
          <c:yMode val="edge"/>
          <c:x val="0.23138558261612646"/>
          <c:y val="0.128697895813870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0190198827881"/>
          <c:y val="0.40437599711800731"/>
          <c:w val="0.51358847585912226"/>
          <c:h val="0.47720395244712061"/>
        </c:manualLayout>
      </c:layout>
      <c:barChart>
        <c:barDir val="bar"/>
        <c:grouping val="clustered"/>
        <c:varyColors val="0"/>
        <c:ser>
          <c:idx val="0"/>
          <c:order val="0"/>
          <c:tx>
            <c:strRef>
              <c:f>'Pivot table'!$E$7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table'!$D$8:$D$9</c:f>
              <c:strCache>
                <c:ptCount val="2"/>
                <c:pt idx="0">
                  <c:v>Female</c:v>
                </c:pt>
                <c:pt idx="1">
                  <c:v>Male</c:v>
                </c:pt>
              </c:strCache>
            </c:strRef>
          </c:cat>
          <c:val>
            <c:numRef>
              <c:f>'Pivot table'!$E$8:$E$9</c:f>
              <c:numCache>
                <c:formatCode>General</c:formatCode>
                <c:ptCount val="2"/>
                <c:pt idx="0">
                  <c:v>512</c:v>
                </c:pt>
                <c:pt idx="1">
                  <c:v>488</c:v>
                </c:pt>
              </c:numCache>
            </c:numRef>
          </c:val>
          <c:extLst>
            <c:ext xmlns:c16="http://schemas.microsoft.com/office/drawing/2014/chart" uri="{C3380CC4-5D6E-409C-BE32-E72D297353CC}">
              <c16:uniqueId val="{00000000-A63D-4428-8FA8-67248CF3236B}"/>
            </c:ext>
          </c:extLst>
        </c:ser>
        <c:dLbls>
          <c:showLegendKey val="0"/>
          <c:showVal val="0"/>
          <c:showCatName val="0"/>
          <c:showSerName val="0"/>
          <c:showPercent val="0"/>
          <c:showBubbleSize val="0"/>
        </c:dLbls>
        <c:gapWidth val="182"/>
        <c:axId val="226664272"/>
        <c:axId val="9622896"/>
      </c:barChart>
      <c:catAx>
        <c:axId val="22666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22896"/>
        <c:crosses val="autoZero"/>
        <c:auto val="1"/>
        <c:lblAlgn val="ctr"/>
        <c:lblOffset val="100"/>
        <c:noMultiLvlLbl val="0"/>
      </c:catAx>
      <c:valAx>
        <c:axId val="962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666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PATIENTS BY AGE GROUP</a:t>
            </a:r>
          </a:p>
        </c:rich>
      </c:tx>
      <c:layout>
        <c:manualLayout>
          <c:xMode val="edge"/>
          <c:yMode val="edge"/>
          <c:x val="0.22640636297903111"/>
          <c:y val="9.8775196314609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table'!$A$15:$A$20</c:f>
              <c:strCache>
                <c:ptCount val="6"/>
                <c:pt idx="0">
                  <c:v>btw 51 &amp; 66</c:v>
                </c:pt>
                <c:pt idx="1">
                  <c:v>66 &amp; above</c:v>
                </c:pt>
                <c:pt idx="2">
                  <c:v>btw 36 &amp;50</c:v>
                </c:pt>
                <c:pt idx="3">
                  <c:v>btw 18 &amp; 35</c:v>
                </c:pt>
                <c:pt idx="4">
                  <c:v>under 18</c:v>
                </c:pt>
                <c:pt idx="5">
                  <c:v>#N/A</c:v>
                </c:pt>
              </c:strCache>
            </c:strRef>
          </c:cat>
          <c:val>
            <c:numRef>
              <c:f>'Pivot table'!$B$15:$B$20</c:f>
              <c:numCache>
                <c:formatCode>General</c:formatCode>
                <c:ptCount val="6"/>
                <c:pt idx="0">
                  <c:v>235</c:v>
                </c:pt>
                <c:pt idx="1">
                  <c:v>220</c:v>
                </c:pt>
                <c:pt idx="2">
                  <c:v>210</c:v>
                </c:pt>
                <c:pt idx="3">
                  <c:v>170</c:v>
                </c:pt>
                <c:pt idx="4">
                  <c:v>153</c:v>
                </c:pt>
                <c:pt idx="5">
                  <c:v>12</c:v>
                </c:pt>
              </c:numCache>
            </c:numRef>
          </c:val>
          <c:extLst>
            <c:ext xmlns:c16="http://schemas.microsoft.com/office/drawing/2014/chart" uri="{C3380CC4-5D6E-409C-BE32-E72D297353CC}">
              <c16:uniqueId val="{00000000-8B87-43AB-9A8C-B986F79590F9}"/>
            </c:ext>
          </c:extLst>
        </c:ser>
        <c:dLbls>
          <c:showLegendKey val="0"/>
          <c:showVal val="0"/>
          <c:showCatName val="0"/>
          <c:showSerName val="0"/>
          <c:showPercent val="0"/>
          <c:showBubbleSize val="0"/>
        </c:dLbls>
        <c:gapWidth val="150"/>
        <c:overlap val="100"/>
        <c:axId val="226676800"/>
        <c:axId val="1653654927"/>
      </c:barChart>
      <c:catAx>
        <c:axId val="2266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3654927"/>
        <c:crosses val="autoZero"/>
        <c:auto val="1"/>
        <c:lblAlgn val="ctr"/>
        <c:lblOffset val="100"/>
        <c:noMultiLvlLbl val="0"/>
      </c:catAx>
      <c:valAx>
        <c:axId val="165365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667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PATIENTS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37400231114454"/>
          <c:y val="0.25344693241469818"/>
          <c:w val="0.47829308570471246"/>
          <c:h val="0.62968613298337706"/>
        </c:manualLayout>
      </c:layout>
      <c:barChart>
        <c:barDir val="bar"/>
        <c:grouping val="stacked"/>
        <c:varyColors val="0"/>
        <c:ser>
          <c:idx val="0"/>
          <c:order val="0"/>
          <c:tx>
            <c:strRef>
              <c:f>'Pivot table'!$H$7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table'!$G$8:$G$13</c:f>
              <c:strCache>
                <c:ptCount val="6"/>
                <c:pt idx="0">
                  <c:v>Cardiology</c:v>
                </c:pt>
                <c:pt idx="1">
                  <c:v>Emergency</c:v>
                </c:pt>
                <c:pt idx="2">
                  <c:v>General</c:v>
                </c:pt>
                <c:pt idx="3">
                  <c:v>Neurology</c:v>
                </c:pt>
                <c:pt idx="4">
                  <c:v>Orthopedics</c:v>
                </c:pt>
                <c:pt idx="5">
                  <c:v>Pediatrics</c:v>
                </c:pt>
              </c:strCache>
            </c:strRef>
          </c:cat>
          <c:val>
            <c:numRef>
              <c:f>'Pivot table'!$H$8:$H$13</c:f>
              <c:numCache>
                <c:formatCode>General</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0-2682-4D7F-B302-087631AFF933}"/>
            </c:ext>
          </c:extLst>
        </c:ser>
        <c:dLbls>
          <c:showLegendKey val="0"/>
          <c:showVal val="0"/>
          <c:showCatName val="0"/>
          <c:showSerName val="0"/>
          <c:showPercent val="0"/>
          <c:showBubbleSize val="0"/>
        </c:dLbls>
        <c:gapWidth val="150"/>
        <c:overlap val="100"/>
        <c:axId val="250199952"/>
        <c:axId val="270753104"/>
      </c:barChart>
      <c:catAx>
        <c:axId val="25019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0753104"/>
        <c:crosses val="autoZero"/>
        <c:auto val="1"/>
        <c:lblAlgn val="ctr"/>
        <c:lblOffset val="100"/>
        <c:noMultiLvlLbl val="0"/>
      </c:catAx>
      <c:valAx>
        <c:axId val="27075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5019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ADMISSION</a:t>
            </a:r>
            <a:r>
              <a:rPr lang="en-US" b="1" baseline="0"/>
              <a:t> TREND OVERTIME</a:t>
            </a:r>
            <a:endParaRPr lang="en-US" b="1"/>
          </a:p>
        </c:rich>
      </c:tx>
      <c:layout>
        <c:manualLayout>
          <c:xMode val="edge"/>
          <c:yMode val="edge"/>
          <c:x val="0.26170122484689412"/>
          <c:y val="6.57891003310128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5158068143401585"/>
          <c:w val="0.84129352580927375"/>
          <c:h val="0.35598996989834503"/>
        </c:manualLayout>
      </c:layout>
      <c:lineChart>
        <c:grouping val="stacked"/>
        <c:varyColors val="0"/>
        <c:ser>
          <c:idx val="0"/>
          <c:order val="0"/>
          <c:tx>
            <c:strRef>
              <c:f>'Pivot table'!$E$14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table'!$D$15:$D$49</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table'!$E$15:$E$49</c:f>
              <c:numCache>
                <c:formatCode>General</c:formatCode>
                <c:ptCount val="24"/>
                <c:pt idx="0">
                  <c:v>34</c:v>
                </c:pt>
                <c:pt idx="1">
                  <c:v>35</c:v>
                </c:pt>
                <c:pt idx="2">
                  <c:v>39</c:v>
                </c:pt>
                <c:pt idx="3">
                  <c:v>44</c:v>
                </c:pt>
                <c:pt idx="4">
                  <c:v>39</c:v>
                </c:pt>
                <c:pt idx="5">
                  <c:v>40</c:v>
                </c:pt>
                <c:pt idx="6">
                  <c:v>51</c:v>
                </c:pt>
                <c:pt idx="7">
                  <c:v>46</c:v>
                </c:pt>
                <c:pt idx="8">
                  <c:v>44</c:v>
                </c:pt>
                <c:pt idx="9">
                  <c:v>45</c:v>
                </c:pt>
                <c:pt idx="10">
                  <c:v>43</c:v>
                </c:pt>
                <c:pt idx="11">
                  <c:v>48</c:v>
                </c:pt>
                <c:pt idx="12">
                  <c:v>51</c:v>
                </c:pt>
                <c:pt idx="13">
                  <c:v>31</c:v>
                </c:pt>
                <c:pt idx="14">
                  <c:v>42</c:v>
                </c:pt>
                <c:pt idx="15">
                  <c:v>50</c:v>
                </c:pt>
                <c:pt idx="16">
                  <c:v>38</c:v>
                </c:pt>
                <c:pt idx="17">
                  <c:v>29</c:v>
                </c:pt>
                <c:pt idx="18">
                  <c:v>45</c:v>
                </c:pt>
                <c:pt idx="19">
                  <c:v>29</c:v>
                </c:pt>
                <c:pt idx="20">
                  <c:v>44</c:v>
                </c:pt>
                <c:pt idx="21">
                  <c:v>39</c:v>
                </c:pt>
                <c:pt idx="22">
                  <c:v>57</c:v>
                </c:pt>
                <c:pt idx="23">
                  <c:v>37</c:v>
                </c:pt>
              </c:numCache>
            </c:numRef>
          </c:val>
          <c:smooth val="0"/>
          <c:extLst>
            <c:ext xmlns:c16="http://schemas.microsoft.com/office/drawing/2014/chart" uri="{C3380CC4-5D6E-409C-BE32-E72D297353CC}">
              <c16:uniqueId val="{00000000-AB5D-4FE8-9229-C1527C95BFDD}"/>
            </c:ext>
          </c:extLst>
        </c:ser>
        <c:dLbls>
          <c:showLegendKey val="0"/>
          <c:showVal val="0"/>
          <c:showCatName val="0"/>
          <c:showSerName val="0"/>
          <c:showPercent val="0"/>
          <c:showBubbleSize val="0"/>
        </c:dLbls>
        <c:marker val="1"/>
        <c:smooth val="0"/>
        <c:axId val="250400864"/>
        <c:axId val="270774704"/>
      </c:lineChart>
      <c:catAx>
        <c:axId val="25040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0774704"/>
        <c:crosses val="autoZero"/>
        <c:auto val="1"/>
        <c:lblAlgn val="ctr"/>
        <c:lblOffset val="100"/>
        <c:noMultiLvlLbl val="0"/>
      </c:catAx>
      <c:valAx>
        <c:axId val="27077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504008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123825</xdr:rowOff>
    </xdr:from>
    <xdr:to>
      <xdr:col>1</xdr:col>
      <xdr:colOff>590550</xdr:colOff>
      <xdr:row>4</xdr:row>
      <xdr:rowOff>95250</xdr:rowOff>
    </xdr:to>
    <xdr:sp macro="" textlink="">
      <xdr:nvSpPr>
        <xdr:cNvPr id="2" name="Rectangle: Rounded Corners 1">
          <a:extLst>
            <a:ext uri="{FF2B5EF4-FFF2-40B4-BE49-F238E27FC236}">
              <a16:creationId xmlns:a16="http://schemas.microsoft.com/office/drawing/2014/main" id="{8209EE3F-9384-61FE-C5BB-A461B9A7E638}"/>
            </a:ext>
          </a:extLst>
        </xdr:cNvPr>
        <xdr:cNvSpPr/>
      </xdr:nvSpPr>
      <xdr:spPr>
        <a:xfrm>
          <a:off x="85725" y="123825"/>
          <a:ext cx="1114425" cy="733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No.</a:t>
          </a:r>
          <a:r>
            <a:rPr lang="en-US" sz="1100" b="1" baseline="0">
              <a:solidFill>
                <a:schemeClr val="bg1"/>
              </a:solidFill>
            </a:rPr>
            <a:t> of Patients</a:t>
          </a:r>
          <a:endParaRPr lang="en-NG" sz="1100" b="1">
            <a:solidFill>
              <a:schemeClr val="bg1"/>
            </a:solidFill>
          </a:endParaRPr>
        </a:p>
      </xdr:txBody>
    </xdr:sp>
    <xdr:clientData/>
  </xdr:twoCellAnchor>
  <xdr:twoCellAnchor editAs="oneCell">
    <xdr:from>
      <xdr:col>0</xdr:col>
      <xdr:colOff>76200</xdr:colOff>
      <xdr:row>5</xdr:row>
      <xdr:rowOff>0</xdr:rowOff>
    </xdr:from>
    <xdr:to>
      <xdr:col>1</xdr:col>
      <xdr:colOff>581025</xdr:colOff>
      <xdr:row>8</xdr:row>
      <xdr:rowOff>184470</xdr:rowOff>
    </xdr:to>
    <xdr:pic>
      <xdr:nvPicPr>
        <xdr:cNvPr id="5" name="Picture 4">
          <a:extLst>
            <a:ext uri="{FF2B5EF4-FFF2-40B4-BE49-F238E27FC236}">
              <a16:creationId xmlns:a16="http://schemas.microsoft.com/office/drawing/2014/main" id="{C41A92DD-1C86-45AD-A855-C12E0677507A}"/>
            </a:ext>
          </a:extLst>
        </xdr:cNvPr>
        <xdr:cNvPicPr>
          <a:picLocks noChangeAspect="1"/>
        </xdr:cNvPicPr>
      </xdr:nvPicPr>
      <xdr:blipFill>
        <a:blip xmlns:r="http://schemas.openxmlformats.org/officeDocument/2006/relationships" r:embed="rId1"/>
        <a:stretch>
          <a:fillRect/>
        </a:stretch>
      </xdr:blipFill>
      <xdr:spPr>
        <a:xfrm>
          <a:off x="76200" y="952500"/>
          <a:ext cx="1114425" cy="755970"/>
        </a:xfrm>
        <a:prstGeom prst="rect">
          <a:avLst/>
        </a:prstGeom>
      </xdr:spPr>
    </xdr:pic>
    <xdr:clientData/>
  </xdr:twoCellAnchor>
  <xdr:twoCellAnchor editAs="oneCell">
    <xdr:from>
      <xdr:col>2</xdr:col>
      <xdr:colOff>47626</xdr:colOff>
      <xdr:row>4</xdr:row>
      <xdr:rowOff>161925</xdr:rowOff>
    </xdr:from>
    <xdr:to>
      <xdr:col>3</xdr:col>
      <xdr:colOff>542925</xdr:colOff>
      <xdr:row>9</xdr:row>
      <xdr:rowOff>28575</xdr:rowOff>
    </xdr:to>
    <xdr:pic>
      <xdr:nvPicPr>
        <xdr:cNvPr id="7" name="Picture 6">
          <a:extLst>
            <a:ext uri="{FF2B5EF4-FFF2-40B4-BE49-F238E27FC236}">
              <a16:creationId xmlns:a16="http://schemas.microsoft.com/office/drawing/2014/main" id="{FCBA2DF5-BAAA-E5E9-E3BD-4C640189912C}"/>
            </a:ext>
          </a:extLst>
        </xdr:cNvPr>
        <xdr:cNvPicPr>
          <a:picLocks noChangeAspect="1"/>
        </xdr:cNvPicPr>
      </xdr:nvPicPr>
      <xdr:blipFill>
        <a:blip xmlns:r="http://schemas.openxmlformats.org/officeDocument/2006/relationships" r:embed="rId1"/>
        <a:stretch>
          <a:fillRect/>
        </a:stretch>
      </xdr:blipFill>
      <xdr:spPr>
        <a:xfrm>
          <a:off x="1266826" y="923925"/>
          <a:ext cx="1104899" cy="819150"/>
        </a:xfrm>
        <a:prstGeom prst="rect">
          <a:avLst/>
        </a:prstGeom>
      </xdr:spPr>
    </xdr:pic>
    <xdr:clientData/>
  </xdr:twoCellAnchor>
  <xdr:twoCellAnchor editAs="oneCell">
    <xdr:from>
      <xdr:col>0</xdr:col>
      <xdr:colOff>180975</xdr:colOff>
      <xdr:row>9</xdr:row>
      <xdr:rowOff>57150</xdr:rowOff>
    </xdr:from>
    <xdr:to>
      <xdr:col>2</xdr:col>
      <xdr:colOff>190500</xdr:colOff>
      <xdr:row>13</xdr:row>
      <xdr:rowOff>152400</xdr:rowOff>
    </xdr:to>
    <xdr:pic>
      <xdr:nvPicPr>
        <xdr:cNvPr id="11" name="Picture 10">
          <a:extLst>
            <a:ext uri="{FF2B5EF4-FFF2-40B4-BE49-F238E27FC236}">
              <a16:creationId xmlns:a16="http://schemas.microsoft.com/office/drawing/2014/main" id="{6609B6E8-8F18-4A16-B769-3F3943AE5141}"/>
            </a:ext>
          </a:extLst>
        </xdr:cNvPr>
        <xdr:cNvPicPr>
          <a:picLocks noChangeAspect="1"/>
        </xdr:cNvPicPr>
      </xdr:nvPicPr>
      <xdr:blipFill>
        <a:blip xmlns:r="http://schemas.openxmlformats.org/officeDocument/2006/relationships" r:embed="rId1"/>
        <a:stretch>
          <a:fillRect/>
        </a:stretch>
      </xdr:blipFill>
      <xdr:spPr>
        <a:xfrm>
          <a:off x="180975" y="1771650"/>
          <a:ext cx="1228725" cy="857250"/>
        </a:xfrm>
        <a:prstGeom prst="rect">
          <a:avLst/>
        </a:prstGeom>
      </xdr:spPr>
    </xdr:pic>
    <xdr:clientData/>
  </xdr:twoCellAnchor>
  <xdr:twoCellAnchor editAs="oneCell">
    <xdr:from>
      <xdr:col>2</xdr:col>
      <xdr:colOff>57151</xdr:colOff>
      <xdr:row>0</xdr:row>
      <xdr:rowOff>66674</xdr:rowOff>
    </xdr:from>
    <xdr:to>
      <xdr:col>3</xdr:col>
      <xdr:colOff>571501</xdr:colOff>
      <xdr:row>4</xdr:row>
      <xdr:rowOff>133349</xdr:rowOff>
    </xdr:to>
    <xdr:pic>
      <xdr:nvPicPr>
        <xdr:cNvPr id="14" name="Picture 13">
          <a:extLst>
            <a:ext uri="{FF2B5EF4-FFF2-40B4-BE49-F238E27FC236}">
              <a16:creationId xmlns:a16="http://schemas.microsoft.com/office/drawing/2014/main" id="{5634BC90-A8C2-43D3-BEDD-C3E139604F4C}"/>
            </a:ext>
          </a:extLst>
        </xdr:cNvPr>
        <xdr:cNvPicPr>
          <a:picLocks noChangeAspect="1"/>
        </xdr:cNvPicPr>
      </xdr:nvPicPr>
      <xdr:blipFill>
        <a:blip xmlns:r="http://schemas.openxmlformats.org/officeDocument/2006/relationships" r:embed="rId1"/>
        <a:stretch>
          <a:fillRect/>
        </a:stretch>
      </xdr:blipFill>
      <xdr:spPr>
        <a:xfrm>
          <a:off x="1276351" y="66674"/>
          <a:ext cx="1123950" cy="828675"/>
        </a:xfrm>
        <a:prstGeom prst="rect">
          <a:avLst/>
        </a:prstGeom>
      </xdr:spPr>
    </xdr:pic>
    <xdr:clientData/>
  </xdr:twoCellAnchor>
  <xdr:oneCellAnchor>
    <xdr:from>
      <xdr:col>2</xdr:col>
      <xdr:colOff>142875</xdr:colOff>
      <xdr:row>2</xdr:row>
      <xdr:rowOff>76200</xdr:rowOff>
    </xdr:from>
    <xdr:ext cx="1123513" cy="342851"/>
    <xdr:sp macro="" textlink="">
      <xdr:nvSpPr>
        <xdr:cNvPr id="15" name="TextBox 14">
          <a:extLst>
            <a:ext uri="{FF2B5EF4-FFF2-40B4-BE49-F238E27FC236}">
              <a16:creationId xmlns:a16="http://schemas.microsoft.com/office/drawing/2014/main" id="{8D9CE782-2ECE-90B3-FB99-39DA61E04314}"/>
            </a:ext>
          </a:extLst>
        </xdr:cNvPr>
        <xdr:cNvSpPr txBox="1"/>
      </xdr:nvSpPr>
      <xdr:spPr>
        <a:xfrm>
          <a:off x="1362075" y="457200"/>
          <a:ext cx="112351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$8,053,143</a:t>
          </a:r>
          <a:endParaRPr lang="en-NG" sz="1600"/>
        </a:p>
      </xdr:txBody>
    </xdr:sp>
    <xdr:clientData/>
  </xdr:oneCellAnchor>
  <xdr:oneCellAnchor>
    <xdr:from>
      <xdr:col>2</xdr:col>
      <xdr:colOff>161925</xdr:colOff>
      <xdr:row>0</xdr:row>
      <xdr:rowOff>161925</xdr:rowOff>
    </xdr:from>
    <xdr:ext cx="1023293" cy="280205"/>
    <xdr:sp macro="" textlink="">
      <xdr:nvSpPr>
        <xdr:cNvPr id="16" name="TextBox 15">
          <a:extLst>
            <a:ext uri="{FF2B5EF4-FFF2-40B4-BE49-F238E27FC236}">
              <a16:creationId xmlns:a16="http://schemas.microsoft.com/office/drawing/2014/main" id="{3E1602AF-B91A-80ED-D071-7F84D49F3859}"/>
            </a:ext>
          </a:extLst>
        </xdr:cNvPr>
        <xdr:cNvSpPr txBox="1"/>
      </xdr:nvSpPr>
      <xdr:spPr>
        <a:xfrm>
          <a:off x="1381125" y="161925"/>
          <a:ext cx="10232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a:t>
          </a:r>
          <a:r>
            <a:rPr lang="en-US" sz="1200" b="1" baseline="0">
              <a:solidFill>
                <a:schemeClr val="bg1"/>
              </a:solidFill>
            </a:rPr>
            <a:t> Bill Amt</a:t>
          </a:r>
          <a:endParaRPr lang="en-NG" sz="1200" b="1">
            <a:solidFill>
              <a:schemeClr val="bg1"/>
            </a:solidFill>
          </a:endParaRPr>
        </a:p>
      </xdr:txBody>
    </xdr:sp>
    <xdr:clientData/>
  </xdr:oneCellAnchor>
  <xdr:oneCellAnchor>
    <xdr:from>
      <xdr:col>0</xdr:col>
      <xdr:colOff>95250</xdr:colOff>
      <xdr:row>5</xdr:row>
      <xdr:rowOff>28575</xdr:rowOff>
    </xdr:from>
    <xdr:ext cx="1102353" cy="264560"/>
    <xdr:sp macro="" textlink="">
      <xdr:nvSpPr>
        <xdr:cNvPr id="17" name="TextBox 16">
          <a:extLst>
            <a:ext uri="{FF2B5EF4-FFF2-40B4-BE49-F238E27FC236}">
              <a16:creationId xmlns:a16="http://schemas.microsoft.com/office/drawing/2014/main" id="{FD7A16F3-F764-E400-0008-31E130263366}"/>
            </a:ext>
          </a:extLst>
        </xdr:cNvPr>
        <xdr:cNvSpPr txBox="1"/>
      </xdr:nvSpPr>
      <xdr:spPr>
        <a:xfrm>
          <a:off x="95250" y="981075"/>
          <a:ext cx="11023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Avg.Stay Length</a:t>
          </a:r>
          <a:endParaRPr lang="en-NG" sz="1100" b="1">
            <a:solidFill>
              <a:schemeClr val="bg1"/>
            </a:solidFill>
          </a:endParaRPr>
        </a:p>
      </xdr:txBody>
    </xdr:sp>
    <xdr:clientData/>
  </xdr:oneCellAnchor>
  <xdr:oneCellAnchor>
    <xdr:from>
      <xdr:col>2</xdr:col>
      <xdr:colOff>104775</xdr:colOff>
      <xdr:row>5</xdr:row>
      <xdr:rowOff>19050</xdr:rowOff>
    </xdr:from>
    <xdr:ext cx="992772" cy="280205"/>
    <xdr:sp macro="" textlink="">
      <xdr:nvSpPr>
        <xdr:cNvPr id="18" name="TextBox 17">
          <a:extLst>
            <a:ext uri="{FF2B5EF4-FFF2-40B4-BE49-F238E27FC236}">
              <a16:creationId xmlns:a16="http://schemas.microsoft.com/office/drawing/2014/main" id="{58E97CB4-2ECC-D266-E62B-35AD8D426CAF}"/>
            </a:ext>
          </a:extLst>
        </xdr:cNvPr>
        <xdr:cNvSpPr txBox="1"/>
      </xdr:nvSpPr>
      <xdr:spPr>
        <a:xfrm>
          <a:off x="1323975" y="971550"/>
          <a:ext cx="992772" cy="280205"/>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Paid Amount</a:t>
          </a:r>
          <a:endParaRPr lang="en-NG" sz="1200" b="1">
            <a:solidFill>
              <a:schemeClr val="bg1"/>
            </a:solidFill>
          </a:endParaRPr>
        </a:p>
      </xdr:txBody>
    </xdr:sp>
    <xdr:clientData/>
  </xdr:oneCellAnchor>
  <xdr:oneCellAnchor>
    <xdr:from>
      <xdr:col>0</xdr:col>
      <xdr:colOff>180975</xdr:colOff>
      <xdr:row>9</xdr:row>
      <xdr:rowOff>142875</xdr:rowOff>
    </xdr:from>
    <xdr:ext cx="1298241" cy="280205"/>
    <xdr:sp macro="" textlink="">
      <xdr:nvSpPr>
        <xdr:cNvPr id="19" name="TextBox 18">
          <a:extLst>
            <a:ext uri="{FF2B5EF4-FFF2-40B4-BE49-F238E27FC236}">
              <a16:creationId xmlns:a16="http://schemas.microsoft.com/office/drawing/2014/main" id="{A28666EE-CF55-D1F8-DDB6-CBFD4CD341F7}"/>
            </a:ext>
          </a:extLst>
        </xdr:cNvPr>
        <xdr:cNvSpPr txBox="1"/>
      </xdr:nvSpPr>
      <xdr:spPr>
        <a:xfrm>
          <a:off x="180975" y="1857375"/>
          <a:ext cx="129824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Avg.Insurance(%)</a:t>
          </a:r>
          <a:endParaRPr lang="en-NG" sz="1200" b="1">
            <a:solidFill>
              <a:schemeClr val="bg1"/>
            </a:solidFill>
          </a:endParaRPr>
        </a:p>
      </xdr:txBody>
    </xdr:sp>
    <xdr:clientData/>
  </xdr:oneCellAnchor>
  <xdr:oneCellAnchor>
    <xdr:from>
      <xdr:col>0</xdr:col>
      <xdr:colOff>552450</xdr:colOff>
      <xdr:row>2</xdr:row>
      <xdr:rowOff>133350</xdr:rowOff>
    </xdr:from>
    <xdr:ext cx="600677" cy="342851"/>
    <xdr:sp macro="" textlink="">
      <xdr:nvSpPr>
        <xdr:cNvPr id="20" name="TextBox 19">
          <a:extLst>
            <a:ext uri="{FF2B5EF4-FFF2-40B4-BE49-F238E27FC236}">
              <a16:creationId xmlns:a16="http://schemas.microsoft.com/office/drawing/2014/main" id="{36DF89C0-CC5C-56C8-1231-87752312550F}"/>
            </a:ext>
          </a:extLst>
        </xdr:cNvPr>
        <xdr:cNvSpPr txBox="1"/>
      </xdr:nvSpPr>
      <xdr:spPr>
        <a:xfrm>
          <a:off x="552450" y="514350"/>
          <a:ext cx="60067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1000</a:t>
          </a:r>
          <a:endParaRPr lang="en-NG" sz="1600"/>
        </a:p>
      </xdr:txBody>
    </xdr:sp>
    <xdr:clientData/>
  </xdr:oneCellAnchor>
  <xdr:oneCellAnchor>
    <xdr:from>
      <xdr:col>0</xdr:col>
      <xdr:colOff>533400</xdr:colOff>
      <xdr:row>6</xdr:row>
      <xdr:rowOff>76200</xdr:rowOff>
    </xdr:from>
    <xdr:ext cx="446084" cy="342851"/>
    <xdr:sp macro="" textlink="">
      <xdr:nvSpPr>
        <xdr:cNvPr id="21" name="TextBox 20">
          <a:extLst>
            <a:ext uri="{FF2B5EF4-FFF2-40B4-BE49-F238E27FC236}">
              <a16:creationId xmlns:a16="http://schemas.microsoft.com/office/drawing/2014/main" id="{70FE7418-1D44-3D97-16CE-166D6E35A04C}"/>
            </a:ext>
          </a:extLst>
        </xdr:cNvPr>
        <xdr:cNvSpPr txBox="1"/>
      </xdr:nvSpPr>
      <xdr:spPr>
        <a:xfrm>
          <a:off x="533400" y="1219200"/>
          <a:ext cx="44608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4.8</a:t>
          </a:r>
          <a:endParaRPr lang="en-NG" sz="1600"/>
        </a:p>
      </xdr:txBody>
    </xdr:sp>
    <xdr:clientData/>
  </xdr:oneCellAnchor>
  <xdr:oneCellAnchor>
    <xdr:from>
      <xdr:col>2</xdr:col>
      <xdr:colOff>57150</xdr:colOff>
      <xdr:row>6</xdr:row>
      <xdr:rowOff>104775</xdr:rowOff>
    </xdr:from>
    <xdr:ext cx="1123513" cy="342851"/>
    <xdr:sp macro="" textlink="">
      <xdr:nvSpPr>
        <xdr:cNvPr id="22" name="TextBox 21">
          <a:extLst>
            <a:ext uri="{FF2B5EF4-FFF2-40B4-BE49-F238E27FC236}">
              <a16:creationId xmlns:a16="http://schemas.microsoft.com/office/drawing/2014/main" id="{5302430D-9DE1-BB99-4AFD-2558481D9D3E}"/>
            </a:ext>
          </a:extLst>
        </xdr:cNvPr>
        <xdr:cNvSpPr txBox="1"/>
      </xdr:nvSpPr>
      <xdr:spPr>
        <a:xfrm>
          <a:off x="1276350" y="1247775"/>
          <a:ext cx="112351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$4,568,527</a:t>
          </a:r>
          <a:endParaRPr lang="en-NG" sz="1600"/>
        </a:p>
      </xdr:txBody>
    </xdr:sp>
    <xdr:clientData/>
  </xdr:oneCellAnchor>
  <xdr:oneCellAnchor>
    <xdr:from>
      <xdr:col>4</xdr:col>
      <xdr:colOff>514350</xdr:colOff>
      <xdr:row>2</xdr:row>
      <xdr:rowOff>95250</xdr:rowOff>
    </xdr:from>
    <xdr:ext cx="184731" cy="264560"/>
    <xdr:sp macro="" textlink="">
      <xdr:nvSpPr>
        <xdr:cNvPr id="23" name="TextBox 22">
          <a:extLst>
            <a:ext uri="{FF2B5EF4-FFF2-40B4-BE49-F238E27FC236}">
              <a16:creationId xmlns:a16="http://schemas.microsoft.com/office/drawing/2014/main" id="{A6602A38-1BE7-B3DF-65A1-AF8A6474AB3B}"/>
            </a:ext>
          </a:extLst>
        </xdr:cNvPr>
        <xdr:cNvSpPr txBox="1"/>
      </xdr:nvSpPr>
      <xdr:spPr>
        <a:xfrm>
          <a:off x="2952750"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oneCellAnchor>
    <xdr:from>
      <xdr:col>0</xdr:col>
      <xdr:colOff>514350</xdr:colOff>
      <xdr:row>10</xdr:row>
      <xdr:rowOff>152400</xdr:rowOff>
    </xdr:from>
    <xdr:ext cx="548740" cy="342851"/>
    <xdr:sp macro="" textlink="">
      <xdr:nvSpPr>
        <xdr:cNvPr id="24" name="TextBox 23">
          <a:extLst>
            <a:ext uri="{FF2B5EF4-FFF2-40B4-BE49-F238E27FC236}">
              <a16:creationId xmlns:a16="http://schemas.microsoft.com/office/drawing/2014/main" id="{7F3B67A3-3791-CE32-DC84-4B8733F0DFA6}"/>
            </a:ext>
          </a:extLst>
        </xdr:cNvPr>
        <xdr:cNvSpPr txBox="1"/>
      </xdr:nvSpPr>
      <xdr:spPr>
        <a:xfrm>
          <a:off x="514350" y="2057400"/>
          <a:ext cx="54874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t>75%</a:t>
          </a:r>
          <a:endParaRPr lang="en-NG" sz="1600"/>
        </a:p>
      </xdr:txBody>
    </xdr:sp>
    <xdr:clientData/>
  </xdr:oneCellAnchor>
  <xdr:twoCellAnchor>
    <xdr:from>
      <xdr:col>11</xdr:col>
      <xdr:colOff>457200</xdr:colOff>
      <xdr:row>16</xdr:row>
      <xdr:rowOff>47625</xdr:rowOff>
    </xdr:from>
    <xdr:to>
      <xdr:col>17</xdr:col>
      <xdr:colOff>95251</xdr:colOff>
      <xdr:row>27</xdr:row>
      <xdr:rowOff>180974</xdr:rowOff>
    </xdr:to>
    <xdr:graphicFrame macro="">
      <xdr:nvGraphicFramePr>
        <xdr:cNvPr id="25" name="Chart 24">
          <a:extLst>
            <a:ext uri="{FF2B5EF4-FFF2-40B4-BE49-F238E27FC236}">
              <a16:creationId xmlns:a16="http://schemas.microsoft.com/office/drawing/2014/main" id="{AE2F082D-932A-456A-B503-7F32121FB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352425</xdr:colOff>
      <xdr:row>15</xdr:row>
      <xdr:rowOff>180975</xdr:rowOff>
    </xdr:from>
    <xdr:to>
      <xdr:col>22</xdr:col>
      <xdr:colOff>581025</xdr:colOff>
      <xdr:row>27</xdr:row>
      <xdr:rowOff>142875</xdr:rowOff>
    </xdr:to>
    <xdr:graphicFrame macro="">
      <xdr:nvGraphicFramePr>
        <xdr:cNvPr id="26" name="Chart 25">
          <a:extLst>
            <a:ext uri="{FF2B5EF4-FFF2-40B4-BE49-F238E27FC236}">
              <a16:creationId xmlns:a16="http://schemas.microsoft.com/office/drawing/2014/main" id="{6DF76547-65E0-4D73-BB92-E50961325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180975</xdr:colOff>
      <xdr:row>16</xdr:row>
      <xdr:rowOff>19050</xdr:rowOff>
    </xdr:from>
    <xdr:to>
      <xdr:col>11</xdr:col>
      <xdr:colOff>304800</xdr:colOff>
      <xdr:row>28</xdr:row>
      <xdr:rowOff>19049</xdr:rowOff>
    </xdr:to>
    <xdr:graphicFrame macro="">
      <xdr:nvGraphicFramePr>
        <xdr:cNvPr id="27" name="Chart 26">
          <a:extLst>
            <a:ext uri="{FF2B5EF4-FFF2-40B4-BE49-F238E27FC236}">
              <a16:creationId xmlns:a16="http://schemas.microsoft.com/office/drawing/2014/main" id="{B3F57135-4E17-4028-A541-584F58FAF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2</xdr:row>
      <xdr:rowOff>95250</xdr:rowOff>
    </xdr:from>
    <xdr:to>
      <xdr:col>22</xdr:col>
      <xdr:colOff>371475</xdr:colOff>
      <xdr:row>15</xdr:row>
      <xdr:rowOff>133350</xdr:rowOff>
    </xdr:to>
    <xdr:graphicFrame macro="">
      <xdr:nvGraphicFramePr>
        <xdr:cNvPr id="29" name="Chart 28">
          <a:extLst>
            <a:ext uri="{FF2B5EF4-FFF2-40B4-BE49-F238E27FC236}">
              <a16:creationId xmlns:a16="http://schemas.microsoft.com/office/drawing/2014/main" id="{AACD7346-BBAD-422E-B50B-73AA6530C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2</xdr:row>
      <xdr:rowOff>1</xdr:rowOff>
    </xdr:from>
    <xdr:to>
      <xdr:col>12</xdr:col>
      <xdr:colOff>333374</xdr:colOff>
      <xdr:row>15</xdr:row>
      <xdr:rowOff>180975</xdr:rowOff>
    </xdr:to>
    <xdr:graphicFrame macro="">
      <xdr:nvGraphicFramePr>
        <xdr:cNvPr id="31" name="Chart 30">
          <a:extLst>
            <a:ext uri="{FF2B5EF4-FFF2-40B4-BE49-F238E27FC236}">
              <a16:creationId xmlns:a16="http://schemas.microsoft.com/office/drawing/2014/main" id="{71206CCB-10BE-46AA-9DE1-ED5A3AFD9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14</xdr:row>
      <xdr:rowOff>47625</xdr:rowOff>
    </xdr:from>
    <xdr:to>
      <xdr:col>2</xdr:col>
      <xdr:colOff>200025</xdr:colOff>
      <xdr:row>28</xdr:row>
      <xdr:rowOff>9525</xdr:rowOff>
    </xdr:to>
    <mc:AlternateContent xmlns:mc="http://schemas.openxmlformats.org/markup-compatibility/2006" xmlns:a14="http://schemas.microsoft.com/office/drawing/2010/main">
      <mc:Choice Requires="a14">
        <xdr:graphicFrame macro="">
          <xdr:nvGraphicFramePr>
            <xdr:cNvPr id="32" name="Diagnosis">
              <a:extLst>
                <a:ext uri="{FF2B5EF4-FFF2-40B4-BE49-F238E27FC236}">
                  <a16:creationId xmlns:a16="http://schemas.microsoft.com/office/drawing/2014/main" id="{0975B10F-2AA4-4BFD-8709-FDDB1538030E}"/>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38100" y="2714625"/>
              <a:ext cx="1381125" cy="26289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238125</xdr:colOff>
      <xdr:row>14</xdr:row>
      <xdr:rowOff>133351</xdr:rowOff>
    </xdr:from>
    <xdr:to>
      <xdr:col>4</xdr:col>
      <xdr:colOff>114300</xdr:colOff>
      <xdr:row>28</xdr:row>
      <xdr:rowOff>9525</xdr:rowOff>
    </xdr:to>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10AF09F2-CA12-4EC3-AD7A-C95F1CA96F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57325" y="2800351"/>
              <a:ext cx="1095375" cy="25431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238126</xdr:colOff>
      <xdr:row>9</xdr:row>
      <xdr:rowOff>123825</xdr:rowOff>
    </xdr:from>
    <xdr:to>
      <xdr:col>3</xdr:col>
      <xdr:colOff>600076</xdr:colOff>
      <xdr:row>14</xdr:row>
      <xdr:rowOff>95250</xdr:rowOff>
    </xdr:to>
    <mc:AlternateContent xmlns:mc="http://schemas.openxmlformats.org/markup-compatibility/2006" xmlns:a14="http://schemas.microsoft.com/office/drawing/2010/main">
      <mc:Choice Requires="a14">
        <xdr:graphicFrame macro="">
          <xdr:nvGraphicFramePr>
            <xdr:cNvPr id="34" name="Years (Admission Date)">
              <a:extLst>
                <a:ext uri="{FF2B5EF4-FFF2-40B4-BE49-F238E27FC236}">
                  <a16:creationId xmlns:a16="http://schemas.microsoft.com/office/drawing/2014/main" id="{86AC661D-AF8C-4585-8B7B-2795E10F9255}"/>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1457326" y="1838325"/>
              <a:ext cx="971550" cy="9239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Hospital" refreshedDate="46322.843706134256" createdVersion="8" refreshedVersion="8" minRefreshableVersion="3" recordCount="1000" xr:uid="{BB28D87B-0493-436F-8C24-FF7E35903653}">
  <cacheSource type="worksheet">
    <worksheetSource ref="A1:M1001" sheet="Hospital Patients"/>
  </cacheSource>
  <cacheFields count="16">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acheField>
    <cacheField name="Gender" numFmtId="0">
      <sharedItems count="2">
        <s v="Male"/>
        <s v="Female"/>
      </sharedItems>
    </cacheField>
    <cacheField name="Admission Date" numFmtId="164">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5"/>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acheField>
    <cacheField name="Insurance Coverage %" numFmtId="166">
      <sharedItems containsSemiMixedTypes="0" containsString="0" containsNumber="1" containsInteger="1" minValue="0" maxValue="100"/>
    </cacheField>
    <cacheField name="Payment Status" numFmtId="0">
      <sharedItems count="3">
        <s v="Paid"/>
        <s v="Pending"/>
        <s v="Partially Paid"/>
      </sharedItems>
    </cacheField>
    <cacheField name="Age category" numFmtId="0">
      <sharedItems count="6">
        <s v="btw 51 &amp; 66"/>
        <s v="66 &amp; above"/>
        <s v="btw 18 &amp; 35"/>
        <s v="btw 36 &amp;50"/>
        <s v="under 18"/>
        <e v="#N/A"/>
      </sharedItems>
    </cacheField>
    <cacheField name="Average length of stay" numFmtId="0">
      <sharedItems containsSemiMixedTypes="0" containsString="0" containsNumber="1" containsInteger="1" minValue="1" maxValue="14"/>
    </cacheField>
    <cacheField name="Months (Admission Date)" numFmtId="0" databaseField="0">
      <fieldGroup base="4">
        <rangePr groupBy="months" startDate="2024-01-01T00:00:00" endDate="2025-12-29T00:00:00"/>
        <groupItems count="14">
          <s v="&lt;01/01/2024"/>
          <s v="Jan"/>
          <s v="Feb"/>
          <s v="Mar"/>
          <s v="Apr"/>
          <s v="May"/>
          <s v="Jun"/>
          <s v="Jul"/>
          <s v="Aug"/>
          <s v="Sept"/>
          <s v="Oct"/>
          <s v="Nov"/>
          <s v="Dec"/>
          <s v="&gt;29/12/2025"/>
        </groupItems>
      </fieldGroup>
    </cacheField>
    <cacheField name="Quarters (Admission Date)" numFmtId="0" databaseField="0">
      <fieldGroup base="4">
        <rangePr groupBy="quarters" startDate="2024-01-01T00:00:00" endDate="2025-12-29T00:00:00"/>
        <groupItems count="6">
          <s v="&lt;01/01/2024"/>
          <s v="Qtr1"/>
          <s v="Qtr2"/>
          <s v="Qtr3"/>
          <s v="Qtr4"/>
          <s v="&gt;29/12/2025"/>
        </groupItems>
      </fieldGroup>
    </cacheField>
    <cacheField name="Years (Admission Date)" numFmtId="0" databaseField="0">
      <fieldGroup base="4">
        <rangePr groupBy="years" startDate="2024-01-01T00:00:00" endDate="2025-12-29T00:00:00"/>
        <groupItems count="4">
          <s v="&lt;01/01/2024"/>
          <s v="2024"/>
          <s v="2025"/>
          <s v="&gt;29/12/2025"/>
        </groupItems>
      </fieldGroup>
    </cacheField>
  </cacheFields>
  <extLst>
    <ext xmlns:x14="http://schemas.microsoft.com/office/spreadsheetml/2009/9/main" uri="{725AE2AE-9491-48be-B2B4-4EB974FC3084}">
      <x14:pivotCacheDefinition pivotCacheId="1756233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omas Martin"/>
    <n v="57"/>
    <x v="0"/>
    <x v="0"/>
    <d v="2024-07-23T00:00:00"/>
    <x v="0"/>
    <x v="0"/>
    <n v="15359.41"/>
    <n v="60"/>
    <x v="0"/>
    <x v="0"/>
    <n v="8"/>
  </r>
  <r>
    <x v="1"/>
    <s v="Betty Thompson"/>
    <n v="62"/>
    <x v="1"/>
    <x v="1"/>
    <d v="2025-03-23T00:00:00"/>
    <x v="0"/>
    <x v="1"/>
    <n v="21896.6"/>
    <n v="80"/>
    <x v="1"/>
    <x v="0"/>
    <n v="10"/>
  </r>
  <r>
    <x v="2"/>
    <s v="Lisa Rodriguez"/>
    <n v="82"/>
    <x v="1"/>
    <x v="2"/>
    <d v="2024-04-08T00:00:00"/>
    <x v="1"/>
    <x v="2"/>
    <n v="6404.86"/>
    <n v="0"/>
    <x v="2"/>
    <x v="1"/>
    <n v="3"/>
  </r>
  <r>
    <x v="3"/>
    <s v="Donna Jones"/>
    <n v="29"/>
    <x v="1"/>
    <x v="3"/>
    <d v="2024-10-24T00:00:00"/>
    <x v="1"/>
    <x v="3"/>
    <n v="1001.68"/>
    <n v="90"/>
    <x v="1"/>
    <x v="2"/>
    <n v="1"/>
  </r>
  <r>
    <x v="4"/>
    <s v="Michael Walker"/>
    <n v="65"/>
    <x v="0"/>
    <x v="4"/>
    <d v="2024-12-01T00:00:00"/>
    <x v="2"/>
    <x v="4"/>
    <n v="4022.42"/>
    <n v="80"/>
    <x v="1"/>
    <x v="0"/>
    <n v="6"/>
  </r>
  <r>
    <x v="5"/>
    <s v="Kenneth Lewis"/>
    <n v="53"/>
    <x v="0"/>
    <x v="5"/>
    <d v="2024-07-28T00:00:00"/>
    <x v="2"/>
    <x v="5"/>
    <n v="6621.96"/>
    <n v="50"/>
    <x v="2"/>
    <x v="0"/>
    <n v="7"/>
  </r>
  <r>
    <x v="6"/>
    <s v="Linda Smith"/>
    <n v="46"/>
    <x v="1"/>
    <x v="6"/>
    <d v="2024-02-13T00:00:00"/>
    <x v="0"/>
    <x v="6"/>
    <n v="7676.36"/>
    <n v="70"/>
    <x v="2"/>
    <x v="3"/>
    <n v="4"/>
  </r>
  <r>
    <x v="7"/>
    <s v="Susan Garcia"/>
    <n v="21"/>
    <x v="1"/>
    <x v="7"/>
    <d v="2024-02-27T00:00:00"/>
    <x v="1"/>
    <x v="7"/>
    <n v="7381.69"/>
    <n v="80"/>
    <x v="1"/>
    <x v="2"/>
    <n v="3"/>
  </r>
  <r>
    <x v="8"/>
    <s v="James Jones"/>
    <n v="62"/>
    <x v="0"/>
    <x v="8"/>
    <d v="2024-11-17T00:00:00"/>
    <x v="2"/>
    <x v="8"/>
    <n v="5206.3999999999996"/>
    <n v="80"/>
    <x v="1"/>
    <x v="0"/>
    <n v="6"/>
  </r>
  <r>
    <x v="9"/>
    <s v="Christopher Johnson"/>
    <n v="59"/>
    <x v="0"/>
    <x v="9"/>
    <d v="2025-08-06T00:00:00"/>
    <x v="1"/>
    <x v="7"/>
    <n v="2498.98"/>
    <n v="50"/>
    <x v="1"/>
    <x v="0"/>
    <n v="1"/>
  </r>
  <r>
    <x v="10"/>
    <s v="Daniel Thomas"/>
    <n v="7"/>
    <x v="0"/>
    <x v="10"/>
    <d v="2025-11-08T00:00:00"/>
    <x v="3"/>
    <x v="9"/>
    <n v="2096.73"/>
    <n v="70"/>
    <x v="0"/>
    <x v="4"/>
    <n v="2"/>
  </r>
  <r>
    <x v="11"/>
    <s v="Sandra Smith"/>
    <n v="85"/>
    <x v="1"/>
    <x v="11"/>
    <d v="2025-03-08T00:00:00"/>
    <x v="2"/>
    <x v="10"/>
    <n v="4619.6099999999997"/>
    <n v="70"/>
    <x v="1"/>
    <x v="1"/>
    <n v="5"/>
  </r>
  <r>
    <x v="12"/>
    <s v="Michael Smith"/>
    <n v="40"/>
    <x v="0"/>
    <x v="12"/>
    <d v="2024-07-29T00:00:00"/>
    <x v="1"/>
    <x v="2"/>
    <n v="3367.87"/>
    <n v="90"/>
    <x v="0"/>
    <x v="3"/>
    <n v="2"/>
  </r>
  <r>
    <x v="13"/>
    <s v="Thomas Taylor"/>
    <n v="24"/>
    <x v="0"/>
    <x v="13"/>
    <d v="2024-08-22T00:00:00"/>
    <x v="2"/>
    <x v="5"/>
    <n v="2287.25"/>
    <n v="60"/>
    <x v="0"/>
    <x v="2"/>
    <n v="2"/>
  </r>
  <r>
    <x v="14"/>
    <s v="Jennifer Williams"/>
    <n v="67"/>
    <x v="1"/>
    <x v="14"/>
    <d v="2025-12-21T00:00:00"/>
    <x v="4"/>
    <x v="11"/>
    <n v="12489.51"/>
    <n v="100"/>
    <x v="0"/>
    <x v="1"/>
    <n v="9"/>
  </r>
  <r>
    <x v="15"/>
    <s v="Nancy Lee"/>
    <n v="70"/>
    <x v="1"/>
    <x v="15"/>
    <d v="2025-02-13T00:00:00"/>
    <x v="2"/>
    <x v="5"/>
    <n v="4262.21"/>
    <n v="100"/>
    <x v="0"/>
    <x v="1"/>
    <n v="6"/>
  </r>
  <r>
    <x v="16"/>
    <s v="Kevin Miller"/>
    <n v="38"/>
    <x v="0"/>
    <x v="16"/>
    <d v="2024-08-28T00:00:00"/>
    <x v="2"/>
    <x v="5"/>
    <n v="5523.81"/>
    <n v="70"/>
    <x v="1"/>
    <x v="3"/>
    <n v="4"/>
  </r>
  <r>
    <x v="17"/>
    <s v="Elizabeth Moore"/>
    <n v="81"/>
    <x v="1"/>
    <x v="17"/>
    <d v="2024-05-29T00:00:00"/>
    <x v="2"/>
    <x v="4"/>
    <n v="1097.76"/>
    <n v="80"/>
    <x v="0"/>
    <x v="1"/>
    <n v="2"/>
  </r>
  <r>
    <x v="18"/>
    <s v="Carol Rodriguez"/>
    <n v="35"/>
    <x v="1"/>
    <x v="18"/>
    <d v="2024-12-29T00:00:00"/>
    <x v="5"/>
    <x v="12"/>
    <n v="14272.73"/>
    <n v="80"/>
    <x v="1"/>
    <x v="2"/>
    <n v="6"/>
  </r>
  <r>
    <x v="19"/>
    <s v="Karen Hernandez"/>
    <n v="42"/>
    <x v="1"/>
    <x v="19"/>
    <d v="2025-06-09T00:00:00"/>
    <x v="4"/>
    <x v="13"/>
    <n v="18429.310000000001"/>
    <n v="100"/>
    <x v="0"/>
    <x v="3"/>
    <n v="13"/>
  </r>
  <r>
    <x v="20"/>
    <s v="Michael Miller"/>
    <n v="36"/>
    <x v="0"/>
    <x v="20"/>
    <d v="2025-10-28T00:00:00"/>
    <x v="4"/>
    <x v="14"/>
    <n v="11481.03"/>
    <n v="80"/>
    <x v="1"/>
    <x v="3"/>
    <n v="6"/>
  </r>
  <r>
    <x v="21"/>
    <s v="Karen Martinez"/>
    <n v="67"/>
    <x v="1"/>
    <x v="21"/>
    <d v="2025-02-14T00:00:00"/>
    <x v="0"/>
    <x v="0"/>
    <n v="6324.27"/>
    <n v="80"/>
    <x v="0"/>
    <x v="1"/>
    <n v="3"/>
  </r>
  <r>
    <x v="22"/>
    <s v="William Wilson"/>
    <n v="23"/>
    <x v="0"/>
    <x v="22"/>
    <d v="2024-11-18T00:00:00"/>
    <x v="1"/>
    <x v="15"/>
    <n v="1888.07"/>
    <n v="80"/>
    <x v="2"/>
    <x v="2"/>
    <n v="1"/>
  </r>
  <r>
    <x v="23"/>
    <s v="Ashley Young"/>
    <n v="66"/>
    <x v="1"/>
    <x v="23"/>
    <d v="2024-03-27T00:00:00"/>
    <x v="0"/>
    <x v="0"/>
    <n v="21654.18"/>
    <n v="70"/>
    <x v="0"/>
    <x v="5"/>
    <n v="8"/>
  </r>
  <r>
    <x v="24"/>
    <s v="Betty Wilson"/>
    <n v="57"/>
    <x v="1"/>
    <x v="24"/>
    <d v="2025-02-21T00:00:00"/>
    <x v="2"/>
    <x v="16"/>
    <n v="2641.14"/>
    <n v="100"/>
    <x v="0"/>
    <x v="0"/>
    <n v="3"/>
  </r>
  <r>
    <x v="25"/>
    <s v="Steven Garcia"/>
    <n v="44"/>
    <x v="0"/>
    <x v="25"/>
    <d v="2024-06-24T00:00:00"/>
    <x v="2"/>
    <x v="10"/>
    <n v="5522.03"/>
    <n v="0"/>
    <x v="2"/>
    <x v="3"/>
    <n v="4"/>
  </r>
  <r>
    <x v="26"/>
    <s v="Paul Taylor"/>
    <n v="58"/>
    <x v="0"/>
    <x v="26"/>
    <d v="2024-06-08T00:00:00"/>
    <x v="0"/>
    <x v="6"/>
    <n v="8789.32"/>
    <n v="90"/>
    <x v="1"/>
    <x v="0"/>
    <n v="5"/>
  </r>
  <r>
    <x v="27"/>
    <s v="Daniel Lopez"/>
    <n v="62"/>
    <x v="0"/>
    <x v="27"/>
    <d v="2025-01-30T00:00:00"/>
    <x v="5"/>
    <x v="17"/>
    <n v="7969.42"/>
    <n v="100"/>
    <x v="0"/>
    <x v="0"/>
    <n v="5"/>
  </r>
  <r>
    <x v="28"/>
    <s v="Joseph Brown"/>
    <n v="52"/>
    <x v="0"/>
    <x v="28"/>
    <d v="2025-04-12T00:00:00"/>
    <x v="4"/>
    <x v="18"/>
    <n v="7929.71"/>
    <n v="90"/>
    <x v="0"/>
    <x v="0"/>
    <n v="6"/>
  </r>
  <r>
    <x v="29"/>
    <s v="Linda Wilson"/>
    <n v="35"/>
    <x v="1"/>
    <x v="29"/>
    <d v="2024-10-04T00:00:00"/>
    <x v="1"/>
    <x v="3"/>
    <n v="4772.8900000000003"/>
    <n v="90"/>
    <x v="0"/>
    <x v="2"/>
    <n v="3"/>
  </r>
  <r>
    <x v="30"/>
    <s v="Emily Moore"/>
    <n v="79"/>
    <x v="1"/>
    <x v="30"/>
    <d v="2024-06-26T00:00:00"/>
    <x v="0"/>
    <x v="19"/>
    <n v="6826.49"/>
    <n v="80"/>
    <x v="0"/>
    <x v="1"/>
    <n v="3"/>
  </r>
  <r>
    <x v="31"/>
    <s v="Sarah Wilson"/>
    <n v="69"/>
    <x v="1"/>
    <x v="31"/>
    <d v="2024-03-22T00:00:00"/>
    <x v="2"/>
    <x v="4"/>
    <n v="2177.7800000000002"/>
    <n v="90"/>
    <x v="2"/>
    <x v="1"/>
    <n v="2"/>
  </r>
  <r>
    <x v="32"/>
    <s v="Nancy Clark"/>
    <n v="21"/>
    <x v="1"/>
    <x v="32"/>
    <d v="2025-05-23T00:00:00"/>
    <x v="1"/>
    <x v="3"/>
    <n v="3527.3"/>
    <n v="0"/>
    <x v="2"/>
    <x v="2"/>
    <n v="2"/>
  </r>
  <r>
    <x v="33"/>
    <s v="Kevin Clark"/>
    <n v="49"/>
    <x v="0"/>
    <x v="33"/>
    <d v="2025-10-16T00:00:00"/>
    <x v="1"/>
    <x v="3"/>
    <n v="1184.01"/>
    <n v="100"/>
    <x v="0"/>
    <x v="3"/>
    <n v="1"/>
  </r>
  <r>
    <x v="34"/>
    <s v="Joseph Williams"/>
    <n v="61"/>
    <x v="0"/>
    <x v="34"/>
    <d v="2025-03-26T00:00:00"/>
    <x v="0"/>
    <x v="20"/>
    <n v="10760.65"/>
    <n v="100"/>
    <x v="0"/>
    <x v="0"/>
    <n v="5"/>
  </r>
  <r>
    <x v="35"/>
    <s v="Jennifer Jackson"/>
    <n v="32"/>
    <x v="1"/>
    <x v="35"/>
    <d v="2025-08-14T00:00:00"/>
    <x v="2"/>
    <x v="21"/>
    <n v="7422.15"/>
    <n v="60"/>
    <x v="1"/>
    <x v="2"/>
    <n v="5"/>
  </r>
  <r>
    <x v="36"/>
    <s v="Elizabeth Rodriguez"/>
    <n v="7"/>
    <x v="1"/>
    <x v="36"/>
    <d v="2025-06-08T00:00:00"/>
    <x v="3"/>
    <x v="22"/>
    <n v="3623.14"/>
    <n v="50"/>
    <x v="0"/>
    <x v="4"/>
    <n v="5"/>
  </r>
  <r>
    <x v="37"/>
    <s v="Mark Miller"/>
    <n v="7"/>
    <x v="0"/>
    <x v="37"/>
    <d v="2024-12-11T00:00:00"/>
    <x v="3"/>
    <x v="23"/>
    <n v="946.04"/>
    <n v="90"/>
    <x v="1"/>
    <x v="4"/>
    <n v="1"/>
  </r>
  <r>
    <x v="38"/>
    <s v="Kenneth Martinez"/>
    <n v="4"/>
    <x v="0"/>
    <x v="20"/>
    <d v="2025-10-25T00:00:00"/>
    <x v="3"/>
    <x v="24"/>
    <n v="3976.01"/>
    <n v="60"/>
    <x v="2"/>
    <x v="4"/>
    <n v="3"/>
  </r>
  <r>
    <x v="39"/>
    <s v="Karen Young"/>
    <n v="81"/>
    <x v="1"/>
    <x v="38"/>
    <d v="2024-12-26T00:00:00"/>
    <x v="0"/>
    <x v="0"/>
    <n v="26928.32"/>
    <n v="70"/>
    <x v="2"/>
    <x v="1"/>
    <n v="9"/>
  </r>
  <r>
    <x v="40"/>
    <s v="Dorothy Ramirez"/>
    <n v="81"/>
    <x v="1"/>
    <x v="39"/>
    <d v="2025-02-18T00:00:00"/>
    <x v="0"/>
    <x v="19"/>
    <n v="7203.24"/>
    <n v="70"/>
    <x v="0"/>
    <x v="1"/>
    <n v="5"/>
  </r>
  <r>
    <x v="41"/>
    <s v="Donna Williams"/>
    <n v="14"/>
    <x v="1"/>
    <x v="40"/>
    <d v="2025-11-22T00:00:00"/>
    <x v="3"/>
    <x v="25"/>
    <n v="5685.06"/>
    <n v="80"/>
    <x v="0"/>
    <x v="4"/>
    <n v="4"/>
  </r>
  <r>
    <x v="42"/>
    <s v="Nancy Harris"/>
    <n v="73"/>
    <x v="1"/>
    <x v="41"/>
    <d v="2025-09-08T00:00:00"/>
    <x v="4"/>
    <x v="26"/>
    <n v="4949.0600000000004"/>
    <n v="50"/>
    <x v="0"/>
    <x v="1"/>
    <n v="3"/>
  </r>
  <r>
    <x v="43"/>
    <s v="William Wilson"/>
    <n v="50"/>
    <x v="0"/>
    <x v="42"/>
    <d v="2024-12-16T00:00:00"/>
    <x v="4"/>
    <x v="14"/>
    <n v="5586.28"/>
    <n v="90"/>
    <x v="0"/>
    <x v="3"/>
    <n v="4"/>
  </r>
  <r>
    <x v="44"/>
    <s v="Michelle Taylor"/>
    <n v="73"/>
    <x v="1"/>
    <x v="43"/>
    <d v="2024-07-18T00:00:00"/>
    <x v="2"/>
    <x v="10"/>
    <n v="766.8"/>
    <n v="60"/>
    <x v="1"/>
    <x v="1"/>
    <n v="1"/>
  </r>
  <r>
    <x v="45"/>
    <s v="Elizabeth Rodriguez"/>
    <n v="60"/>
    <x v="1"/>
    <x v="44"/>
    <d v="2024-05-26T00:00:00"/>
    <x v="4"/>
    <x v="13"/>
    <n v="28480.18"/>
    <n v="70"/>
    <x v="0"/>
    <x v="0"/>
    <n v="13"/>
  </r>
  <r>
    <x v="46"/>
    <s v="Elizabeth Harris"/>
    <n v="37"/>
    <x v="1"/>
    <x v="45"/>
    <d v="2025-01-08T00:00:00"/>
    <x v="2"/>
    <x v="21"/>
    <n v="1098.9100000000001"/>
    <n v="70"/>
    <x v="1"/>
    <x v="3"/>
    <n v="2"/>
  </r>
  <r>
    <x v="47"/>
    <s v="David Wilson"/>
    <n v="54"/>
    <x v="0"/>
    <x v="46"/>
    <d v="2025-11-15T00:00:00"/>
    <x v="4"/>
    <x v="27"/>
    <n v="22377.119999999999"/>
    <n v="80"/>
    <x v="0"/>
    <x v="0"/>
    <n v="10"/>
  </r>
  <r>
    <x v="48"/>
    <s v="Kevin Wilson"/>
    <n v="1"/>
    <x v="0"/>
    <x v="47"/>
    <d v="2024-09-14T00:00:00"/>
    <x v="3"/>
    <x v="23"/>
    <n v="3895.9"/>
    <n v="0"/>
    <x v="1"/>
    <x v="4"/>
    <n v="4"/>
  </r>
  <r>
    <x v="49"/>
    <s v="James Wilson"/>
    <n v="51"/>
    <x v="0"/>
    <x v="48"/>
    <d v="2025-09-29T00:00:00"/>
    <x v="4"/>
    <x v="27"/>
    <n v="10684"/>
    <n v="60"/>
    <x v="0"/>
    <x v="0"/>
    <n v="9"/>
  </r>
  <r>
    <x v="50"/>
    <s v="Jennifer Perez"/>
    <n v="23"/>
    <x v="1"/>
    <x v="49"/>
    <d v="2024-07-10T00:00:00"/>
    <x v="2"/>
    <x v="5"/>
    <n v="3643.5"/>
    <n v="70"/>
    <x v="2"/>
    <x v="2"/>
    <n v="4"/>
  </r>
  <r>
    <x v="51"/>
    <s v="Mary Johnson"/>
    <n v="67"/>
    <x v="1"/>
    <x v="50"/>
    <d v="2024-10-13T00:00:00"/>
    <x v="1"/>
    <x v="2"/>
    <n v="5702.96"/>
    <n v="80"/>
    <x v="0"/>
    <x v="1"/>
    <n v="3"/>
  </r>
  <r>
    <x v="52"/>
    <s v="Joseph Thomas"/>
    <n v="63"/>
    <x v="0"/>
    <x v="41"/>
    <d v="2025-09-12T00:00:00"/>
    <x v="0"/>
    <x v="1"/>
    <n v="18049.650000000001"/>
    <n v="80"/>
    <x v="0"/>
    <x v="0"/>
    <n v="7"/>
  </r>
  <r>
    <x v="53"/>
    <s v="Anthony Thomas"/>
    <n v="59"/>
    <x v="0"/>
    <x v="51"/>
    <d v="2025-04-10T00:00:00"/>
    <x v="0"/>
    <x v="0"/>
    <n v="16488.400000000001"/>
    <n v="80"/>
    <x v="0"/>
    <x v="0"/>
    <n v="6"/>
  </r>
  <r>
    <x v="54"/>
    <s v="Donna Clark"/>
    <n v="64"/>
    <x v="1"/>
    <x v="52"/>
    <d v="2025-01-13T00:00:00"/>
    <x v="5"/>
    <x v="28"/>
    <n v="18217.14"/>
    <n v="50"/>
    <x v="2"/>
    <x v="0"/>
    <n v="8"/>
  </r>
  <r>
    <x v="55"/>
    <s v="Andrew Jones"/>
    <n v="60"/>
    <x v="0"/>
    <x v="53"/>
    <d v="2024-11-23T00:00:00"/>
    <x v="4"/>
    <x v="13"/>
    <n v="16175.09"/>
    <n v="80"/>
    <x v="1"/>
    <x v="0"/>
    <n v="11"/>
  </r>
  <r>
    <x v="56"/>
    <s v="Jennifer Martinez"/>
    <n v="77"/>
    <x v="1"/>
    <x v="54"/>
    <d v="2024-03-29T00:00:00"/>
    <x v="0"/>
    <x v="0"/>
    <n v="12858.55"/>
    <n v="80"/>
    <x v="1"/>
    <x v="1"/>
    <n v="8"/>
  </r>
  <r>
    <x v="57"/>
    <s v="Mark Lewis"/>
    <n v="29"/>
    <x v="0"/>
    <x v="55"/>
    <d v="2025-05-19T00:00:00"/>
    <x v="4"/>
    <x v="13"/>
    <n v="14617.11"/>
    <n v="0"/>
    <x v="2"/>
    <x v="2"/>
    <n v="14"/>
  </r>
  <r>
    <x v="58"/>
    <s v="Mark Miller"/>
    <n v="77"/>
    <x v="0"/>
    <x v="6"/>
    <d v="2024-02-16T00:00:00"/>
    <x v="0"/>
    <x v="29"/>
    <n v="8848.16"/>
    <n v="90"/>
    <x v="0"/>
    <x v="1"/>
    <n v="7"/>
  </r>
  <r>
    <x v="59"/>
    <s v="Steven Garcia"/>
    <n v="38"/>
    <x v="0"/>
    <x v="56"/>
    <d v="2024-05-25T00:00:00"/>
    <x v="1"/>
    <x v="15"/>
    <n v="4529.29"/>
    <n v="60"/>
    <x v="2"/>
    <x v="3"/>
    <n v="2"/>
  </r>
  <r>
    <x v="60"/>
    <s v="Jessica Thomas"/>
    <n v="43"/>
    <x v="1"/>
    <x v="53"/>
    <d v="2024-11-14T00:00:00"/>
    <x v="2"/>
    <x v="10"/>
    <n v="1655.08"/>
    <n v="80"/>
    <x v="0"/>
    <x v="3"/>
    <n v="2"/>
  </r>
  <r>
    <x v="61"/>
    <s v="Joshua Lee"/>
    <n v="16"/>
    <x v="0"/>
    <x v="57"/>
    <d v="2025-04-30T00:00:00"/>
    <x v="3"/>
    <x v="23"/>
    <n v="1165.3699999999999"/>
    <n v="80"/>
    <x v="1"/>
    <x v="4"/>
    <n v="1"/>
  </r>
  <r>
    <x v="62"/>
    <s v="Linda Lopez"/>
    <n v="47"/>
    <x v="1"/>
    <x v="58"/>
    <d v="2025-04-28T00:00:00"/>
    <x v="0"/>
    <x v="29"/>
    <n v="5020.34"/>
    <n v="80"/>
    <x v="0"/>
    <x v="3"/>
    <n v="4"/>
  </r>
  <r>
    <x v="63"/>
    <s v="Jennifer Jackson"/>
    <n v="5"/>
    <x v="1"/>
    <x v="59"/>
    <d v="2024-04-26T00:00:00"/>
    <x v="3"/>
    <x v="24"/>
    <n v="4344.45"/>
    <n v="100"/>
    <x v="0"/>
    <x v="4"/>
    <n v="3"/>
  </r>
  <r>
    <x v="64"/>
    <s v="Betty Garcia"/>
    <n v="40"/>
    <x v="1"/>
    <x v="60"/>
    <d v="2025-10-21T00:00:00"/>
    <x v="0"/>
    <x v="29"/>
    <n v="11900.88"/>
    <n v="80"/>
    <x v="1"/>
    <x v="3"/>
    <n v="9"/>
  </r>
  <r>
    <x v="65"/>
    <s v="Kenneth Wilson"/>
    <n v="67"/>
    <x v="0"/>
    <x v="61"/>
    <d v="2025-02-02T00:00:00"/>
    <x v="5"/>
    <x v="17"/>
    <n v="12380.25"/>
    <n v="80"/>
    <x v="0"/>
    <x v="1"/>
    <n v="9"/>
  </r>
  <r>
    <x v="66"/>
    <s v="Daniel Anderson"/>
    <n v="63"/>
    <x v="0"/>
    <x v="62"/>
    <d v="2025-11-29T00:00:00"/>
    <x v="0"/>
    <x v="20"/>
    <n v="9509.74"/>
    <n v="90"/>
    <x v="0"/>
    <x v="0"/>
    <n v="4"/>
  </r>
  <r>
    <x v="67"/>
    <s v="Jessica Young"/>
    <n v="60"/>
    <x v="1"/>
    <x v="63"/>
    <d v="2025-03-19T00:00:00"/>
    <x v="5"/>
    <x v="28"/>
    <n v="6803.88"/>
    <n v="80"/>
    <x v="0"/>
    <x v="0"/>
    <n v="4"/>
  </r>
  <r>
    <x v="68"/>
    <s v="Michelle Lee"/>
    <n v="67"/>
    <x v="1"/>
    <x v="64"/>
    <d v="2024-06-04T00:00:00"/>
    <x v="4"/>
    <x v="13"/>
    <n v="23530.58"/>
    <n v="80"/>
    <x v="2"/>
    <x v="1"/>
    <n v="11"/>
  </r>
  <r>
    <x v="69"/>
    <s v="Joseph Johnson"/>
    <n v="83"/>
    <x v="0"/>
    <x v="65"/>
    <d v="2025-04-06T00:00:00"/>
    <x v="1"/>
    <x v="7"/>
    <n v="1108.28"/>
    <n v="50"/>
    <x v="0"/>
    <x v="1"/>
    <n v="1"/>
  </r>
  <r>
    <x v="70"/>
    <s v="Paul White"/>
    <n v="69"/>
    <x v="0"/>
    <x v="66"/>
    <d v="2025-12-29T00:00:00"/>
    <x v="0"/>
    <x v="6"/>
    <n v="15858.97"/>
    <n v="80"/>
    <x v="0"/>
    <x v="1"/>
    <n v="7"/>
  </r>
  <r>
    <x v="71"/>
    <s v="Andrew Young"/>
    <n v="66"/>
    <x v="0"/>
    <x v="67"/>
    <d v="2025-02-02T00:00:00"/>
    <x v="4"/>
    <x v="18"/>
    <n v="24022.14"/>
    <n v="80"/>
    <x v="2"/>
    <x v="5"/>
    <n v="14"/>
  </r>
  <r>
    <x v="72"/>
    <s v="Michelle Wilson"/>
    <n v="29"/>
    <x v="1"/>
    <x v="68"/>
    <d v="2024-11-02T00:00:00"/>
    <x v="4"/>
    <x v="18"/>
    <n v="13601.98"/>
    <n v="80"/>
    <x v="1"/>
    <x v="2"/>
    <n v="12"/>
  </r>
  <r>
    <x v="73"/>
    <s v="Kenneth White"/>
    <n v="48"/>
    <x v="0"/>
    <x v="59"/>
    <d v="2024-05-02T00:00:00"/>
    <x v="5"/>
    <x v="30"/>
    <n v="11054.91"/>
    <n v="80"/>
    <x v="0"/>
    <x v="3"/>
    <n v="9"/>
  </r>
  <r>
    <x v="74"/>
    <s v="Matthew Clark"/>
    <n v="71"/>
    <x v="0"/>
    <x v="62"/>
    <d v="2025-11-28T00:00:00"/>
    <x v="1"/>
    <x v="2"/>
    <n v="4292.29"/>
    <n v="70"/>
    <x v="0"/>
    <x v="1"/>
    <n v="3"/>
  </r>
  <r>
    <x v="75"/>
    <s v="Elizabeth Lewis"/>
    <n v="58"/>
    <x v="1"/>
    <x v="69"/>
    <d v="2025-11-17T00:00:00"/>
    <x v="0"/>
    <x v="29"/>
    <n v="15148.04"/>
    <n v="100"/>
    <x v="0"/>
    <x v="0"/>
    <n v="9"/>
  </r>
  <r>
    <x v="76"/>
    <s v="Mary Thomas"/>
    <n v="31"/>
    <x v="1"/>
    <x v="70"/>
    <d v="2025-04-08T00:00:00"/>
    <x v="5"/>
    <x v="28"/>
    <n v="12486.34"/>
    <n v="60"/>
    <x v="1"/>
    <x v="2"/>
    <n v="7"/>
  </r>
  <r>
    <x v="77"/>
    <s v="Elizabeth Rodriguez"/>
    <n v="6"/>
    <x v="1"/>
    <x v="62"/>
    <d v="2025-11-30T00:00:00"/>
    <x v="3"/>
    <x v="24"/>
    <n v="6755.47"/>
    <n v="90"/>
    <x v="0"/>
    <x v="4"/>
    <n v="5"/>
  </r>
  <r>
    <x v="78"/>
    <s v="Michelle Perez"/>
    <n v="54"/>
    <x v="1"/>
    <x v="71"/>
    <d v="2025-09-05T00:00:00"/>
    <x v="1"/>
    <x v="31"/>
    <n v="2919.13"/>
    <n v="100"/>
    <x v="0"/>
    <x v="0"/>
    <n v="2"/>
  </r>
  <r>
    <x v="79"/>
    <s v="Betty Walker"/>
    <n v="40"/>
    <x v="1"/>
    <x v="72"/>
    <d v="2025-07-19T00:00:00"/>
    <x v="4"/>
    <x v="13"/>
    <n v="30241.53"/>
    <n v="100"/>
    <x v="0"/>
    <x v="3"/>
    <n v="14"/>
  </r>
  <r>
    <x v="80"/>
    <s v="Sarah Jackson"/>
    <n v="70"/>
    <x v="1"/>
    <x v="73"/>
    <d v="2024-07-17T00:00:00"/>
    <x v="0"/>
    <x v="20"/>
    <n v="12489.15"/>
    <n v="0"/>
    <x v="1"/>
    <x v="1"/>
    <n v="7"/>
  </r>
  <r>
    <x v="81"/>
    <s v="Jessica Thompson"/>
    <n v="34"/>
    <x v="1"/>
    <x v="74"/>
    <d v="2024-02-07T00:00:00"/>
    <x v="4"/>
    <x v="26"/>
    <n v="12813.71"/>
    <n v="70"/>
    <x v="0"/>
    <x v="2"/>
    <n v="6"/>
  </r>
  <r>
    <x v="82"/>
    <s v="Elizabeth Perez"/>
    <n v="62"/>
    <x v="1"/>
    <x v="75"/>
    <d v="2024-05-01T00:00:00"/>
    <x v="4"/>
    <x v="26"/>
    <n v="13205.04"/>
    <n v="70"/>
    <x v="0"/>
    <x v="0"/>
    <n v="5"/>
  </r>
  <r>
    <x v="83"/>
    <s v="Paul Harris"/>
    <n v="83"/>
    <x v="0"/>
    <x v="66"/>
    <d v="2025-12-29T00:00:00"/>
    <x v="2"/>
    <x v="4"/>
    <n v="3620.28"/>
    <n v="80"/>
    <x v="0"/>
    <x v="1"/>
    <n v="7"/>
  </r>
  <r>
    <x v="84"/>
    <s v="Jessica White"/>
    <n v="76"/>
    <x v="1"/>
    <x v="13"/>
    <d v="2024-08-27T00:00:00"/>
    <x v="2"/>
    <x v="8"/>
    <n v="7803.54"/>
    <n v="70"/>
    <x v="1"/>
    <x v="1"/>
    <n v="7"/>
  </r>
  <r>
    <x v="85"/>
    <s v="Betty Moore"/>
    <n v="50"/>
    <x v="1"/>
    <x v="76"/>
    <d v="2025-01-10T00:00:00"/>
    <x v="5"/>
    <x v="12"/>
    <n v="12412.35"/>
    <n v="90"/>
    <x v="2"/>
    <x v="3"/>
    <n v="8"/>
  </r>
  <r>
    <x v="86"/>
    <s v="Ashley Smith"/>
    <n v="39"/>
    <x v="1"/>
    <x v="77"/>
    <d v="2025-11-30T00:00:00"/>
    <x v="1"/>
    <x v="32"/>
    <n v="2598.06"/>
    <n v="80"/>
    <x v="0"/>
    <x v="3"/>
    <n v="2"/>
  </r>
  <r>
    <x v="87"/>
    <s v="Mark Moore"/>
    <n v="68"/>
    <x v="0"/>
    <x v="78"/>
    <d v="2025-03-11T00:00:00"/>
    <x v="2"/>
    <x v="21"/>
    <n v="9165.89"/>
    <n v="70"/>
    <x v="0"/>
    <x v="1"/>
    <n v="7"/>
  </r>
  <r>
    <x v="88"/>
    <s v="Carol Hernandez"/>
    <n v="55"/>
    <x v="1"/>
    <x v="9"/>
    <d v="2025-08-07T00:00:00"/>
    <x v="1"/>
    <x v="2"/>
    <n v="2783.91"/>
    <n v="70"/>
    <x v="0"/>
    <x v="0"/>
    <n v="2"/>
  </r>
  <r>
    <x v="89"/>
    <s v="Barbara Taylor"/>
    <n v="71"/>
    <x v="1"/>
    <x v="79"/>
    <d v="2025-01-31T00:00:00"/>
    <x v="0"/>
    <x v="1"/>
    <n v="23939.75"/>
    <n v="60"/>
    <x v="0"/>
    <x v="1"/>
    <n v="9"/>
  </r>
  <r>
    <x v="90"/>
    <s v="Lisa Brown"/>
    <n v="55"/>
    <x v="1"/>
    <x v="80"/>
    <d v="2025-05-09T00:00:00"/>
    <x v="5"/>
    <x v="28"/>
    <n v="19244.54"/>
    <n v="80"/>
    <x v="0"/>
    <x v="0"/>
    <n v="8"/>
  </r>
  <r>
    <x v="91"/>
    <s v="Barbara Walker"/>
    <n v="60"/>
    <x v="1"/>
    <x v="43"/>
    <d v="2024-07-26T00:00:00"/>
    <x v="0"/>
    <x v="0"/>
    <n v="17194.91"/>
    <n v="90"/>
    <x v="0"/>
    <x v="0"/>
    <n v="9"/>
  </r>
  <r>
    <x v="92"/>
    <s v="Thomas Hernandez"/>
    <n v="62"/>
    <x v="0"/>
    <x v="81"/>
    <d v="2024-08-29T00:00:00"/>
    <x v="2"/>
    <x v="33"/>
    <n v="3707.77"/>
    <n v="80"/>
    <x v="0"/>
    <x v="0"/>
    <n v="3"/>
  </r>
  <r>
    <x v="93"/>
    <s v="Sarah Young"/>
    <n v="62"/>
    <x v="1"/>
    <x v="82"/>
    <d v="2025-09-01T00:00:00"/>
    <x v="5"/>
    <x v="34"/>
    <n v="11445.42"/>
    <n v="80"/>
    <x v="1"/>
    <x v="0"/>
    <n v="6"/>
  </r>
  <r>
    <x v="94"/>
    <s v="David Anderson"/>
    <n v="52"/>
    <x v="0"/>
    <x v="83"/>
    <d v="2025-04-30T00:00:00"/>
    <x v="2"/>
    <x v="4"/>
    <n v="1587.61"/>
    <n v="90"/>
    <x v="1"/>
    <x v="0"/>
    <n v="2"/>
  </r>
  <r>
    <x v="95"/>
    <s v="Mark Thompson"/>
    <n v="32"/>
    <x v="0"/>
    <x v="84"/>
    <d v="2024-10-26T00:00:00"/>
    <x v="1"/>
    <x v="15"/>
    <n v="4946.29"/>
    <n v="80"/>
    <x v="0"/>
    <x v="2"/>
    <n v="2"/>
  </r>
  <r>
    <x v="96"/>
    <s v="Daniel Garcia"/>
    <n v="15"/>
    <x v="0"/>
    <x v="85"/>
    <d v="2024-11-01T00:00:00"/>
    <x v="3"/>
    <x v="24"/>
    <n v="3757.58"/>
    <n v="80"/>
    <x v="0"/>
    <x v="4"/>
    <n v="3"/>
  </r>
  <r>
    <x v="97"/>
    <s v="Michael Ramirez"/>
    <n v="61"/>
    <x v="0"/>
    <x v="86"/>
    <d v="2025-04-23T00:00:00"/>
    <x v="0"/>
    <x v="20"/>
    <n v="10173.43"/>
    <n v="70"/>
    <x v="2"/>
    <x v="0"/>
    <n v="5"/>
  </r>
  <r>
    <x v="98"/>
    <s v="Linda Robinson"/>
    <n v="1"/>
    <x v="1"/>
    <x v="87"/>
    <d v="2024-12-25T00:00:00"/>
    <x v="3"/>
    <x v="24"/>
    <n v="4626.03"/>
    <n v="50"/>
    <x v="1"/>
    <x v="4"/>
    <n v="5"/>
  </r>
  <r>
    <x v="99"/>
    <s v="Jennifer Martinez"/>
    <n v="28"/>
    <x v="1"/>
    <x v="88"/>
    <d v="2024-11-19T00:00:00"/>
    <x v="2"/>
    <x v="16"/>
    <n v="3159.6"/>
    <n v="80"/>
    <x v="0"/>
    <x v="2"/>
    <n v="3"/>
  </r>
  <r>
    <x v="100"/>
    <s v="Matthew Williams"/>
    <n v="78"/>
    <x v="0"/>
    <x v="89"/>
    <d v="2024-02-07T00:00:00"/>
    <x v="1"/>
    <x v="7"/>
    <n v="6630.7"/>
    <n v="90"/>
    <x v="0"/>
    <x v="1"/>
    <n v="3"/>
  </r>
  <r>
    <x v="101"/>
    <s v="Paul Robinson"/>
    <n v="51"/>
    <x v="0"/>
    <x v="90"/>
    <d v="2024-04-19T00:00:00"/>
    <x v="5"/>
    <x v="12"/>
    <n v="17220.650000000001"/>
    <n v="70"/>
    <x v="2"/>
    <x v="0"/>
    <n v="9"/>
  </r>
  <r>
    <x v="102"/>
    <s v="David Walker"/>
    <n v="70"/>
    <x v="0"/>
    <x v="91"/>
    <d v="2024-03-01T00:00:00"/>
    <x v="4"/>
    <x v="18"/>
    <n v="13557.6"/>
    <n v="90"/>
    <x v="0"/>
    <x v="1"/>
    <n v="5"/>
  </r>
  <r>
    <x v="103"/>
    <s v="Daniel White"/>
    <n v="51"/>
    <x v="0"/>
    <x v="92"/>
    <d v="2025-04-13T00:00:00"/>
    <x v="2"/>
    <x v="33"/>
    <n v="1460.86"/>
    <n v="70"/>
    <x v="2"/>
    <x v="0"/>
    <n v="2"/>
  </r>
  <r>
    <x v="104"/>
    <s v="Daniel Walker"/>
    <n v="57"/>
    <x v="0"/>
    <x v="93"/>
    <d v="2025-01-15T00:00:00"/>
    <x v="5"/>
    <x v="34"/>
    <n v="5152.58"/>
    <n v="0"/>
    <x v="0"/>
    <x v="0"/>
    <n v="3"/>
  </r>
  <r>
    <x v="105"/>
    <s v="Lisa Anderson"/>
    <n v="37"/>
    <x v="1"/>
    <x v="94"/>
    <d v="2025-07-28T00:00:00"/>
    <x v="1"/>
    <x v="3"/>
    <n v="954.61"/>
    <n v="90"/>
    <x v="0"/>
    <x v="3"/>
    <n v="1"/>
  </r>
  <r>
    <x v="106"/>
    <s v="Steven Clark"/>
    <n v="59"/>
    <x v="0"/>
    <x v="95"/>
    <d v="2025-02-21T00:00:00"/>
    <x v="0"/>
    <x v="20"/>
    <n v="11951.45"/>
    <n v="100"/>
    <x v="0"/>
    <x v="0"/>
    <n v="6"/>
  </r>
  <r>
    <x v="107"/>
    <s v="Daniel Anderson"/>
    <n v="2"/>
    <x v="0"/>
    <x v="96"/>
    <d v="2024-04-11T00:00:00"/>
    <x v="3"/>
    <x v="24"/>
    <n v="3169.16"/>
    <n v="60"/>
    <x v="1"/>
    <x v="4"/>
    <n v="2"/>
  </r>
  <r>
    <x v="108"/>
    <s v="William Brown"/>
    <n v="55"/>
    <x v="0"/>
    <x v="97"/>
    <d v="2025-05-08T00:00:00"/>
    <x v="2"/>
    <x v="16"/>
    <n v="1178.75"/>
    <n v="70"/>
    <x v="0"/>
    <x v="0"/>
    <n v="1"/>
  </r>
  <r>
    <x v="109"/>
    <s v="Christopher Davis"/>
    <n v="69"/>
    <x v="0"/>
    <x v="98"/>
    <d v="2024-04-23T00:00:00"/>
    <x v="1"/>
    <x v="2"/>
    <n v="4895.09"/>
    <n v="50"/>
    <x v="2"/>
    <x v="1"/>
    <n v="3"/>
  </r>
  <r>
    <x v="110"/>
    <s v="Joseph Williams"/>
    <n v="2"/>
    <x v="0"/>
    <x v="99"/>
    <d v="2024-10-16T00:00:00"/>
    <x v="3"/>
    <x v="22"/>
    <n v="819.61"/>
    <n v="80"/>
    <x v="0"/>
    <x v="4"/>
    <n v="1"/>
  </r>
  <r>
    <x v="111"/>
    <s v="Sandra Jackson"/>
    <n v="40"/>
    <x v="1"/>
    <x v="100"/>
    <d v="2024-12-06T00:00:00"/>
    <x v="1"/>
    <x v="2"/>
    <n v="2899.4"/>
    <n v="70"/>
    <x v="1"/>
    <x v="3"/>
    <n v="2"/>
  </r>
  <r>
    <x v="112"/>
    <s v="Sandra Moore"/>
    <n v="4"/>
    <x v="1"/>
    <x v="101"/>
    <d v="2024-01-07T00:00:00"/>
    <x v="3"/>
    <x v="24"/>
    <n v="2638.05"/>
    <n v="90"/>
    <x v="1"/>
    <x v="4"/>
    <n v="2"/>
  </r>
  <r>
    <x v="113"/>
    <s v="Karen Anderson"/>
    <n v="19"/>
    <x v="1"/>
    <x v="102"/>
    <d v="2024-05-11T00:00:00"/>
    <x v="1"/>
    <x v="3"/>
    <n v="6176.26"/>
    <n v="70"/>
    <x v="1"/>
    <x v="2"/>
    <n v="3"/>
  </r>
  <r>
    <x v="114"/>
    <s v="Paul Lopez"/>
    <n v="29"/>
    <x v="0"/>
    <x v="103"/>
    <d v="2025-09-15T00:00:00"/>
    <x v="4"/>
    <x v="27"/>
    <n v="4035.23"/>
    <n v="80"/>
    <x v="0"/>
    <x v="2"/>
    <n v="3"/>
  </r>
  <r>
    <x v="115"/>
    <s v="Lisa Johnson"/>
    <n v="36"/>
    <x v="1"/>
    <x v="104"/>
    <d v="2024-03-28T00:00:00"/>
    <x v="2"/>
    <x v="16"/>
    <n v="1068.76"/>
    <n v="80"/>
    <x v="0"/>
    <x v="3"/>
    <n v="2"/>
  </r>
  <r>
    <x v="116"/>
    <s v="Kenneth Garcia"/>
    <n v="45"/>
    <x v="0"/>
    <x v="105"/>
    <d v="2024-06-20T00:00:00"/>
    <x v="1"/>
    <x v="32"/>
    <n v="2606.79"/>
    <n v="70"/>
    <x v="1"/>
    <x v="3"/>
    <n v="3"/>
  </r>
  <r>
    <x v="117"/>
    <s v="Emily Williams"/>
    <n v="2"/>
    <x v="1"/>
    <x v="106"/>
    <d v="2025-06-15T00:00:00"/>
    <x v="3"/>
    <x v="9"/>
    <n v="2856.34"/>
    <n v="100"/>
    <x v="1"/>
    <x v="4"/>
    <n v="2"/>
  </r>
  <r>
    <x v="118"/>
    <s v="Sandra Young"/>
    <n v="48"/>
    <x v="1"/>
    <x v="107"/>
    <d v="2024-07-13T00:00:00"/>
    <x v="4"/>
    <x v="18"/>
    <n v="13136.54"/>
    <n v="100"/>
    <x v="1"/>
    <x v="3"/>
    <n v="8"/>
  </r>
  <r>
    <x v="119"/>
    <s v="Robert Moore"/>
    <n v="32"/>
    <x v="0"/>
    <x v="108"/>
    <d v="2025-09-15T00:00:00"/>
    <x v="4"/>
    <x v="14"/>
    <n v="10441.879999999999"/>
    <n v="70"/>
    <x v="1"/>
    <x v="2"/>
    <n v="6"/>
  </r>
  <r>
    <x v="120"/>
    <s v="Kenneth Perez"/>
    <n v="39"/>
    <x v="0"/>
    <x v="109"/>
    <d v="2024-09-01T00:00:00"/>
    <x v="2"/>
    <x v="4"/>
    <n v="8804.17"/>
    <n v="70"/>
    <x v="1"/>
    <x v="3"/>
    <n v="7"/>
  </r>
  <r>
    <x v="121"/>
    <s v="Kevin Lewis"/>
    <n v="14"/>
    <x v="0"/>
    <x v="110"/>
    <d v="2024-05-26T00:00:00"/>
    <x v="3"/>
    <x v="25"/>
    <n v="8692.2099999999991"/>
    <n v="80"/>
    <x v="1"/>
    <x v="4"/>
    <n v="5"/>
  </r>
  <r>
    <x v="122"/>
    <s v="Christopher Lewis"/>
    <n v="77"/>
    <x v="0"/>
    <x v="111"/>
    <d v="2024-11-10T00:00:00"/>
    <x v="0"/>
    <x v="0"/>
    <n v="8942.35"/>
    <n v="0"/>
    <x v="0"/>
    <x v="1"/>
    <n v="5"/>
  </r>
  <r>
    <x v="123"/>
    <s v="Kenneth Williams"/>
    <n v="59"/>
    <x v="0"/>
    <x v="112"/>
    <d v="2025-05-19T00:00:00"/>
    <x v="5"/>
    <x v="35"/>
    <n v="17584.490000000002"/>
    <n v="100"/>
    <x v="2"/>
    <x v="0"/>
    <n v="10"/>
  </r>
  <r>
    <x v="124"/>
    <s v="Betty Walker"/>
    <n v="84"/>
    <x v="1"/>
    <x v="113"/>
    <d v="2024-04-18T00:00:00"/>
    <x v="1"/>
    <x v="31"/>
    <n v="1921.25"/>
    <n v="50"/>
    <x v="2"/>
    <x v="1"/>
    <n v="1"/>
  </r>
  <r>
    <x v="125"/>
    <s v="Linda Walker"/>
    <n v="41"/>
    <x v="1"/>
    <x v="114"/>
    <d v="2024-08-14T00:00:00"/>
    <x v="5"/>
    <x v="35"/>
    <n v="6966.69"/>
    <n v="70"/>
    <x v="1"/>
    <x v="3"/>
    <n v="3"/>
  </r>
  <r>
    <x v="126"/>
    <s v="Sarah Davis"/>
    <n v="4"/>
    <x v="1"/>
    <x v="115"/>
    <d v="2024-04-12T00:00:00"/>
    <x v="3"/>
    <x v="25"/>
    <n v="5715.35"/>
    <n v="70"/>
    <x v="0"/>
    <x v="4"/>
    <n v="4"/>
  </r>
  <r>
    <x v="127"/>
    <s v="Jennifer Clark"/>
    <n v="48"/>
    <x v="1"/>
    <x v="116"/>
    <d v="2025-10-09T00:00:00"/>
    <x v="1"/>
    <x v="31"/>
    <n v="4210.91"/>
    <n v="90"/>
    <x v="0"/>
    <x v="3"/>
    <n v="3"/>
  </r>
  <r>
    <x v="128"/>
    <s v="Sarah Hernandez"/>
    <n v="62"/>
    <x v="1"/>
    <x v="117"/>
    <d v="2024-03-09T00:00:00"/>
    <x v="0"/>
    <x v="1"/>
    <n v="11082.93"/>
    <n v="50"/>
    <x v="1"/>
    <x v="0"/>
    <n v="7"/>
  </r>
  <r>
    <x v="129"/>
    <s v="Elizabeth Garcia"/>
    <n v="31"/>
    <x v="1"/>
    <x v="118"/>
    <d v="2024-12-04T00:00:00"/>
    <x v="2"/>
    <x v="10"/>
    <n v="6234.49"/>
    <n v="100"/>
    <x v="1"/>
    <x v="2"/>
    <n v="5"/>
  </r>
  <r>
    <x v="130"/>
    <s v="Karen Moore"/>
    <n v="65"/>
    <x v="1"/>
    <x v="119"/>
    <d v="2025-05-26T00:00:00"/>
    <x v="5"/>
    <x v="35"/>
    <n v="17644.05"/>
    <n v="60"/>
    <x v="0"/>
    <x v="0"/>
    <n v="10"/>
  </r>
  <r>
    <x v="131"/>
    <s v="James Davis"/>
    <n v="80"/>
    <x v="0"/>
    <x v="120"/>
    <d v="2024-10-31T00:00:00"/>
    <x v="5"/>
    <x v="12"/>
    <n v="11838.97"/>
    <n v="70"/>
    <x v="2"/>
    <x v="1"/>
    <n v="9"/>
  </r>
  <r>
    <x v="132"/>
    <s v="Joshua Martin"/>
    <n v="9"/>
    <x v="0"/>
    <x v="84"/>
    <d v="2024-10-27T00:00:00"/>
    <x v="3"/>
    <x v="24"/>
    <n v="2139.13"/>
    <n v="90"/>
    <x v="2"/>
    <x v="4"/>
    <n v="3"/>
  </r>
  <r>
    <x v="133"/>
    <s v="Susan White"/>
    <n v="48"/>
    <x v="1"/>
    <x v="64"/>
    <d v="2024-05-31T00:00:00"/>
    <x v="0"/>
    <x v="6"/>
    <n v="10657.18"/>
    <n v="100"/>
    <x v="0"/>
    <x v="3"/>
    <n v="7"/>
  </r>
  <r>
    <x v="134"/>
    <s v="Jessica Harris"/>
    <n v="83"/>
    <x v="1"/>
    <x v="121"/>
    <d v="2025-09-05T00:00:00"/>
    <x v="0"/>
    <x v="29"/>
    <n v="17707.36"/>
    <n v="90"/>
    <x v="0"/>
    <x v="1"/>
    <n v="6"/>
  </r>
  <r>
    <x v="135"/>
    <s v="James Brown"/>
    <n v="57"/>
    <x v="0"/>
    <x v="122"/>
    <d v="2024-12-06T00:00:00"/>
    <x v="4"/>
    <x v="18"/>
    <n v="31874.83"/>
    <n v="90"/>
    <x v="1"/>
    <x v="0"/>
    <n v="13"/>
  </r>
  <r>
    <x v="136"/>
    <s v="Jessica Lopez"/>
    <n v="50"/>
    <x v="1"/>
    <x v="123"/>
    <d v="2024-06-21T00:00:00"/>
    <x v="2"/>
    <x v="10"/>
    <n v="5681.44"/>
    <n v="70"/>
    <x v="0"/>
    <x v="3"/>
    <n v="6"/>
  </r>
  <r>
    <x v="137"/>
    <s v="Mary Robinson"/>
    <n v="58"/>
    <x v="1"/>
    <x v="124"/>
    <d v="2025-07-10T00:00:00"/>
    <x v="0"/>
    <x v="0"/>
    <n v="17588.68"/>
    <n v="90"/>
    <x v="0"/>
    <x v="0"/>
    <n v="7"/>
  </r>
  <r>
    <x v="138"/>
    <s v="Matthew Davis"/>
    <n v="58"/>
    <x v="0"/>
    <x v="125"/>
    <d v="2025-04-04T00:00:00"/>
    <x v="2"/>
    <x v="33"/>
    <n v="1113.6199999999999"/>
    <n v="80"/>
    <x v="0"/>
    <x v="0"/>
    <n v="2"/>
  </r>
  <r>
    <x v="139"/>
    <s v="Christopher Wilson"/>
    <n v="60"/>
    <x v="0"/>
    <x v="126"/>
    <d v="2024-06-27T00:00:00"/>
    <x v="2"/>
    <x v="33"/>
    <n v="3222.62"/>
    <n v="90"/>
    <x v="1"/>
    <x v="0"/>
    <n v="5"/>
  </r>
  <r>
    <x v="140"/>
    <s v="Karen Williams"/>
    <n v="53"/>
    <x v="1"/>
    <x v="127"/>
    <d v="2024-07-13T00:00:00"/>
    <x v="2"/>
    <x v="4"/>
    <n v="4276.67"/>
    <n v="50"/>
    <x v="0"/>
    <x v="0"/>
    <n v="5"/>
  </r>
  <r>
    <x v="141"/>
    <s v="Jennifer Smith"/>
    <n v="37"/>
    <x v="1"/>
    <x v="128"/>
    <d v="2025-04-11T00:00:00"/>
    <x v="2"/>
    <x v="10"/>
    <n v="2378.61"/>
    <n v="70"/>
    <x v="0"/>
    <x v="3"/>
    <n v="4"/>
  </r>
  <r>
    <x v="142"/>
    <s v="Matthew Garcia"/>
    <n v="52"/>
    <x v="0"/>
    <x v="129"/>
    <d v="2024-01-05T00:00:00"/>
    <x v="1"/>
    <x v="36"/>
    <n v="1802.47"/>
    <n v="70"/>
    <x v="2"/>
    <x v="0"/>
    <n v="1"/>
  </r>
  <r>
    <x v="143"/>
    <s v="Michelle Thomas"/>
    <n v="64"/>
    <x v="1"/>
    <x v="130"/>
    <d v="2024-05-11T00:00:00"/>
    <x v="0"/>
    <x v="29"/>
    <n v="26472.01"/>
    <n v="60"/>
    <x v="2"/>
    <x v="0"/>
    <n v="9"/>
  </r>
  <r>
    <x v="144"/>
    <s v="Robert Miller"/>
    <n v="31"/>
    <x v="0"/>
    <x v="131"/>
    <d v="2025-08-01T00:00:00"/>
    <x v="5"/>
    <x v="35"/>
    <n v="15209.42"/>
    <n v="80"/>
    <x v="1"/>
    <x v="2"/>
    <n v="9"/>
  </r>
  <r>
    <x v="145"/>
    <s v="Lisa Rodriguez"/>
    <n v="54"/>
    <x v="1"/>
    <x v="132"/>
    <d v="2025-07-12T00:00:00"/>
    <x v="2"/>
    <x v="10"/>
    <n v="683.93"/>
    <n v="0"/>
    <x v="1"/>
    <x v="0"/>
    <n v="1"/>
  </r>
  <r>
    <x v="146"/>
    <s v="Barbara Wilson"/>
    <n v="77"/>
    <x v="1"/>
    <x v="133"/>
    <d v="2024-04-04T00:00:00"/>
    <x v="2"/>
    <x v="16"/>
    <n v="2163.62"/>
    <n v="60"/>
    <x v="0"/>
    <x v="1"/>
    <n v="4"/>
  </r>
  <r>
    <x v="147"/>
    <s v="Barbara Jones"/>
    <n v="28"/>
    <x v="1"/>
    <x v="134"/>
    <d v="2025-09-07T00:00:00"/>
    <x v="1"/>
    <x v="15"/>
    <n v="7033.75"/>
    <n v="90"/>
    <x v="0"/>
    <x v="2"/>
    <n v="3"/>
  </r>
  <r>
    <x v="148"/>
    <s v="Lisa Williams"/>
    <n v="57"/>
    <x v="1"/>
    <x v="135"/>
    <d v="2024-12-26T00:00:00"/>
    <x v="0"/>
    <x v="19"/>
    <n v="9216.99"/>
    <n v="100"/>
    <x v="0"/>
    <x v="0"/>
    <n v="5"/>
  </r>
  <r>
    <x v="149"/>
    <s v="Jennifer Young"/>
    <n v="32"/>
    <x v="1"/>
    <x v="80"/>
    <d v="2025-05-03T00:00:00"/>
    <x v="2"/>
    <x v="10"/>
    <n v="1561.35"/>
    <n v="90"/>
    <x v="2"/>
    <x v="2"/>
    <n v="2"/>
  </r>
  <r>
    <x v="150"/>
    <s v="Karen Smith"/>
    <n v="41"/>
    <x v="1"/>
    <x v="132"/>
    <d v="2025-07-20T00:00:00"/>
    <x v="0"/>
    <x v="0"/>
    <n v="24856.18"/>
    <n v="100"/>
    <x v="0"/>
    <x v="3"/>
    <n v="9"/>
  </r>
  <r>
    <x v="151"/>
    <s v="Mark Smith"/>
    <n v="43"/>
    <x v="0"/>
    <x v="136"/>
    <d v="2025-05-24T00:00:00"/>
    <x v="1"/>
    <x v="15"/>
    <n v="2493.0500000000002"/>
    <n v="90"/>
    <x v="0"/>
    <x v="3"/>
    <n v="2"/>
  </r>
  <r>
    <x v="152"/>
    <s v="Andrew Martinez"/>
    <n v="49"/>
    <x v="0"/>
    <x v="137"/>
    <d v="2024-04-21T00:00:00"/>
    <x v="1"/>
    <x v="7"/>
    <n v="5177.47"/>
    <n v="60"/>
    <x v="0"/>
    <x v="3"/>
    <n v="3"/>
  </r>
  <r>
    <x v="153"/>
    <s v="Betty Williams"/>
    <n v="75"/>
    <x v="1"/>
    <x v="138"/>
    <d v="2025-04-06T00:00:00"/>
    <x v="4"/>
    <x v="13"/>
    <n v="12122.8"/>
    <n v="80"/>
    <x v="0"/>
    <x v="1"/>
    <n v="8"/>
  </r>
  <r>
    <x v="154"/>
    <s v="Robert Jones"/>
    <n v="48"/>
    <x v="0"/>
    <x v="139"/>
    <d v="2024-09-11T00:00:00"/>
    <x v="5"/>
    <x v="28"/>
    <n v="6625.48"/>
    <n v="60"/>
    <x v="2"/>
    <x v="3"/>
    <n v="4"/>
  </r>
  <r>
    <x v="155"/>
    <s v="David Jones"/>
    <n v="72"/>
    <x v="0"/>
    <x v="140"/>
    <d v="2024-08-01T00:00:00"/>
    <x v="4"/>
    <x v="14"/>
    <n v="17423.45"/>
    <n v="70"/>
    <x v="2"/>
    <x v="1"/>
    <n v="9"/>
  </r>
  <r>
    <x v="156"/>
    <s v="Richard Ramirez"/>
    <n v="65"/>
    <x v="0"/>
    <x v="141"/>
    <d v="2024-07-05T00:00:00"/>
    <x v="0"/>
    <x v="1"/>
    <n v="13753.53"/>
    <n v="90"/>
    <x v="1"/>
    <x v="0"/>
    <n v="9"/>
  </r>
  <r>
    <x v="157"/>
    <s v="Matthew Williams"/>
    <n v="44"/>
    <x v="0"/>
    <x v="142"/>
    <d v="2025-10-06T00:00:00"/>
    <x v="0"/>
    <x v="0"/>
    <n v="18100.37"/>
    <n v="80"/>
    <x v="0"/>
    <x v="3"/>
    <n v="10"/>
  </r>
  <r>
    <x v="158"/>
    <s v="Linda Brown"/>
    <n v="48"/>
    <x v="1"/>
    <x v="143"/>
    <d v="2024-09-12T00:00:00"/>
    <x v="4"/>
    <x v="26"/>
    <n v="16172.66"/>
    <n v="70"/>
    <x v="1"/>
    <x v="3"/>
    <n v="7"/>
  </r>
  <r>
    <x v="159"/>
    <s v="Carol Thompson"/>
    <n v="43"/>
    <x v="1"/>
    <x v="144"/>
    <d v="2024-08-17T00:00:00"/>
    <x v="2"/>
    <x v="8"/>
    <n v="7133.08"/>
    <n v="90"/>
    <x v="1"/>
    <x v="3"/>
    <n v="7"/>
  </r>
  <r>
    <x v="160"/>
    <s v="Joseph Jackson"/>
    <n v="48"/>
    <x v="0"/>
    <x v="66"/>
    <d v="2026-01-01T00:00:00"/>
    <x v="0"/>
    <x v="0"/>
    <n v="27699.3"/>
    <n v="50"/>
    <x v="1"/>
    <x v="3"/>
    <n v="10"/>
  </r>
  <r>
    <x v="161"/>
    <s v="Richard Rodriguez"/>
    <n v="77"/>
    <x v="0"/>
    <x v="145"/>
    <d v="2024-07-03T00:00:00"/>
    <x v="1"/>
    <x v="2"/>
    <n v="1403.37"/>
    <n v="80"/>
    <x v="1"/>
    <x v="1"/>
    <n v="1"/>
  </r>
  <r>
    <x v="162"/>
    <s v="Karen Smith"/>
    <n v="69"/>
    <x v="1"/>
    <x v="146"/>
    <d v="2024-05-08T00:00:00"/>
    <x v="1"/>
    <x v="31"/>
    <n v="3350.67"/>
    <n v="80"/>
    <x v="1"/>
    <x v="1"/>
    <n v="3"/>
  </r>
  <r>
    <x v="163"/>
    <s v="Elizabeth Williams"/>
    <n v="52"/>
    <x v="1"/>
    <x v="147"/>
    <d v="2024-02-04T00:00:00"/>
    <x v="1"/>
    <x v="31"/>
    <n v="2922.92"/>
    <n v="100"/>
    <x v="1"/>
    <x v="0"/>
    <n v="2"/>
  </r>
  <r>
    <x v="164"/>
    <s v="Lisa Garcia"/>
    <n v="67"/>
    <x v="1"/>
    <x v="148"/>
    <d v="2024-11-23T00:00:00"/>
    <x v="1"/>
    <x v="31"/>
    <n v="2127.71"/>
    <n v="90"/>
    <x v="2"/>
    <x v="1"/>
    <n v="2"/>
  </r>
  <r>
    <x v="165"/>
    <s v="Ashley Smith"/>
    <n v="75"/>
    <x v="1"/>
    <x v="149"/>
    <d v="2025-09-22T00:00:00"/>
    <x v="0"/>
    <x v="29"/>
    <n v="15507.09"/>
    <n v="90"/>
    <x v="0"/>
    <x v="1"/>
    <n v="9"/>
  </r>
  <r>
    <x v="166"/>
    <s v="Steven Thomas"/>
    <n v="3"/>
    <x v="0"/>
    <x v="150"/>
    <d v="2025-08-17T00:00:00"/>
    <x v="3"/>
    <x v="37"/>
    <n v="2767.57"/>
    <n v="50"/>
    <x v="0"/>
    <x v="4"/>
    <n v="2"/>
  </r>
  <r>
    <x v="167"/>
    <s v="Ashley Wilson"/>
    <n v="82"/>
    <x v="1"/>
    <x v="151"/>
    <d v="2025-08-01T00:00:00"/>
    <x v="1"/>
    <x v="2"/>
    <n v="1998.09"/>
    <n v="80"/>
    <x v="0"/>
    <x v="1"/>
    <n v="1"/>
  </r>
  <r>
    <x v="168"/>
    <s v="Carol Garcia"/>
    <n v="16"/>
    <x v="1"/>
    <x v="70"/>
    <d v="2025-04-06T00:00:00"/>
    <x v="3"/>
    <x v="25"/>
    <n v="6351.72"/>
    <n v="60"/>
    <x v="0"/>
    <x v="4"/>
    <n v="5"/>
  </r>
  <r>
    <x v="169"/>
    <s v="Richard Williams"/>
    <n v="47"/>
    <x v="0"/>
    <x v="152"/>
    <d v="2025-02-11T00:00:00"/>
    <x v="1"/>
    <x v="7"/>
    <n v="2177.35"/>
    <n v="80"/>
    <x v="0"/>
    <x v="3"/>
    <n v="2"/>
  </r>
  <r>
    <x v="170"/>
    <s v="Mary Martin"/>
    <n v="52"/>
    <x v="1"/>
    <x v="153"/>
    <d v="2025-06-15T00:00:00"/>
    <x v="0"/>
    <x v="1"/>
    <n v="4484.95"/>
    <n v="80"/>
    <x v="0"/>
    <x v="0"/>
    <n v="3"/>
  </r>
  <r>
    <x v="171"/>
    <s v="Richard Jones"/>
    <n v="81"/>
    <x v="0"/>
    <x v="154"/>
    <d v="2024-08-30T00:00:00"/>
    <x v="1"/>
    <x v="32"/>
    <n v="3381.88"/>
    <n v="90"/>
    <x v="0"/>
    <x v="1"/>
    <n v="2"/>
  </r>
  <r>
    <x v="172"/>
    <s v="Brian Taylor"/>
    <n v="60"/>
    <x v="0"/>
    <x v="155"/>
    <d v="2025-06-28T00:00:00"/>
    <x v="4"/>
    <x v="18"/>
    <n v="11601.6"/>
    <n v="70"/>
    <x v="1"/>
    <x v="0"/>
    <n v="5"/>
  </r>
  <r>
    <x v="173"/>
    <s v="Jessica Hernandez"/>
    <n v="82"/>
    <x v="1"/>
    <x v="156"/>
    <d v="2025-03-03T00:00:00"/>
    <x v="1"/>
    <x v="2"/>
    <n v="2198.17"/>
    <n v="90"/>
    <x v="0"/>
    <x v="1"/>
    <n v="2"/>
  </r>
  <r>
    <x v="174"/>
    <s v="Emily Robinson"/>
    <n v="34"/>
    <x v="1"/>
    <x v="157"/>
    <d v="2025-10-17T00:00:00"/>
    <x v="4"/>
    <x v="13"/>
    <n v="35611.43"/>
    <n v="70"/>
    <x v="0"/>
    <x v="2"/>
    <n v="13"/>
  </r>
  <r>
    <x v="175"/>
    <s v="Christopher White"/>
    <n v="55"/>
    <x v="0"/>
    <x v="32"/>
    <d v="2025-05-26T00:00:00"/>
    <x v="0"/>
    <x v="20"/>
    <n v="8093.35"/>
    <n v="100"/>
    <x v="2"/>
    <x v="0"/>
    <n v="5"/>
  </r>
  <r>
    <x v="176"/>
    <s v="James White"/>
    <n v="69"/>
    <x v="0"/>
    <x v="158"/>
    <d v="2024-02-19T00:00:00"/>
    <x v="5"/>
    <x v="34"/>
    <n v="15311.93"/>
    <n v="60"/>
    <x v="1"/>
    <x v="1"/>
    <n v="8"/>
  </r>
  <r>
    <x v="177"/>
    <s v="Lisa Thompson"/>
    <n v="59"/>
    <x v="1"/>
    <x v="50"/>
    <d v="2024-10-13T00:00:00"/>
    <x v="1"/>
    <x v="2"/>
    <n v="4201.93"/>
    <n v="80"/>
    <x v="0"/>
    <x v="0"/>
    <n v="3"/>
  </r>
  <r>
    <x v="178"/>
    <s v="Ashley Walker"/>
    <n v="51"/>
    <x v="1"/>
    <x v="159"/>
    <d v="2025-11-07T00:00:00"/>
    <x v="4"/>
    <x v="27"/>
    <n v="12277.27"/>
    <n v="90"/>
    <x v="0"/>
    <x v="0"/>
    <n v="9"/>
  </r>
  <r>
    <x v="179"/>
    <s v="Jessica Ramirez"/>
    <n v="7"/>
    <x v="1"/>
    <x v="160"/>
    <d v="2025-05-12T00:00:00"/>
    <x v="3"/>
    <x v="24"/>
    <n v="4150.83"/>
    <n v="70"/>
    <x v="1"/>
    <x v="4"/>
    <n v="4"/>
  </r>
  <r>
    <x v="180"/>
    <s v="Daniel Jackson"/>
    <n v="27"/>
    <x v="0"/>
    <x v="161"/>
    <d v="2024-01-12T00:00:00"/>
    <x v="2"/>
    <x v="33"/>
    <n v="2123.81"/>
    <n v="100"/>
    <x v="0"/>
    <x v="2"/>
    <n v="3"/>
  </r>
  <r>
    <x v="181"/>
    <s v="Emily Clark"/>
    <n v="56"/>
    <x v="1"/>
    <x v="162"/>
    <d v="2025-02-03T00:00:00"/>
    <x v="4"/>
    <x v="14"/>
    <n v="29767.07"/>
    <n v="80"/>
    <x v="1"/>
    <x v="0"/>
    <n v="13"/>
  </r>
  <r>
    <x v="182"/>
    <s v="David White"/>
    <n v="8"/>
    <x v="0"/>
    <x v="163"/>
    <d v="2025-06-22T00:00:00"/>
    <x v="3"/>
    <x v="22"/>
    <n v="5537.93"/>
    <n v="90"/>
    <x v="0"/>
    <x v="4"/>
    <n v="5"/>
  </r>
  <r>
    <x v="183"/>
    <s v="Joshua Garcia"/>
    <n v="77"/>
    <x v="0"/>
    <x v="164"/>
    <d v="2025-08-28T00:00:00"/>
    <x v="2"/>
    <x v="5"/>
    <n v="7949.08"/>
    <n v="60"/>
    <x v="0"/>
    <x v="1"/>
    <n v="6"/>
  </r>
  <r>
    <x v="184"/>
    <s v="Robert Lewis"/>
    <n v="3"/>
    <x v="0"/>
    <x v="165"/>
    <d v="2024-12-29T00:00:00"/>
    <x v="3"/>
    <x v="24"/>
    <n v="6607.88"/>
    <n v="70"/>
    <x v="0"/>
    <x v="4"/>
    <n v="4"/>
  </r>
  <r>
    <x v="185"/>
    <s v="Susan Thomas"/>
    <n v="12"/>
    <x v="1"/>
    <x v="166"/>
    <d v="2024-09-16T00:00:00"/>
    <x v="3"/>
    <x v="23"/>
    <n v="4728.71"/>
    <n v="50"/>
    <x v="0"/>
    <x v="4"/>
    <n v="3"/>
  </r>
  <r>
    <x v="186"/>
    <s v="Barbara White"/>
    <n v="83"/>
    <x v="1"/>
    <x v="167"/>
    <d v="2024-03-09T00:00:00"/>
    <x v="0"/>
    <x v="1"/>
    <n v="15664.73"/>
    <n v="80"/>
    <x v="0"/>
    <x v="1"/>
    <n v="8"/>
  </r>
  <r>
    <x v="187"/>
    <s v="Betty Clark"/>
    <n v="53"/>
    <x v="1"/>
    <x v="168"/>
    <d v="2025-10-25T00:00:00"/>
    <x v="2"/>
    <x v="33"/>
    <n v="2716.52"/>
    <n v="0"/>
    <x v="2"/>
    <x v="0"/>
    <n v="4"/>
  </r>
  <r>
    <x v="188"/>
    <s v="Susan Miller"/>
    <n v="29"/>
    <x v="1"/>
    <x v="38"/>
    <d v="2024-12-18T00:00:00"/>
    <x v="2"/>
    <x v="21"/>
    <n v="716.18"/>
    <n v="80"/>
    <x v="0"/>
    <x v="2"/>
    <n v="1"/>
  </r>
  <r>
    <x v="189"/>
    <s v="Jennifer Young"/>
    <n v="49"/>
    <x v="1"/>
    <x v="169"/>
    <d v="2025-03-25T00:00:00"/>
    <x v="5"/>
    <x v="28"/>
    <n v="3478.78"/>
    <n v="80"/>
    <x v="0"/>
    <x v="3"/>
    <n v="3"/>
  </r>
  <r>
    <x v="190"/>
    <s v="Mary Miller"/>
    <n v="48"/>
    <x v="1"/>
    <x v="40"/>
    <d v="2025-11-24T00:00:00"/>
    <x v="2"/>
    <x v="10"/>
    <n v="3693.12"/>
    <n v="100"/>
    <x v="1"/>
    <x v="3"/>
    <n v="6"/>
  </r>
  <r>
    <x v="191"/>
    <s v="Barbara Garcia"/>
    <n v="80"/>
    <x v="1"/>
    <x v="170"/>
    <d v="2024-03-12T00:00:00"/>
    <x v="2"/>
    <x v="21"/>
    <n v="1441.21"/>
    <n v="0"/>
    <x v="0"/>
    <x v="1"/>
    <n v="1"/>
  </r>
  <r>
    <x v="192"/>
    <s v="Lisa Clark"/>
    <n v="52"/>
    <x v="1"/>
    <x v="171"/>
    <d v="2024-12-19T00:00:00"/>
    <x v="2"/>
    <x v="21"/>
    <n v="8378.4500000000007"/>
    <n v="70"/>
    <x v="1"/>
    <x v="0"/>
    <n v="6"/>
  </r>
  <r>
    <x v="193"/>
    <s v="Dorothy White"/>
    <n v="77"/>
    <x v="1"/>
    <x v="172"/>
    <d v="2024-10-30T00:00:00"/>
    <x v="0"/>
    <x v="0"/>
    <n v="16501.419999999998"/>
    <n v="50"/>
    <x v="0"/>
    <x v="1"/>
    <n v="10"/>
  </r>
  <r>
    <x v="194"/>
    <s v="Linda Jackson"/>
    <n v="53"/>
    <x v="1"/>
    <x v="32"/>
    <d v="2025-05-30T00:00:00"/>
    <x v="0"/>
    <x v="19"/>
    <n v="18430.509999999998"/>
    <n v="100"/>
    <x v="0"/>
    <x v="0"/>
    <n v="9"/>
  </r>
  <r>
    <x v="195"/>
    <s v="Anthony Thompson"/>
    <n v="42"/>
    <x v="0"/>
    <x v="173"/>
    <d v="2024-09-18T00:00:00"/>
    <x v="2"/>
    <x v="16"/>
    <n v="1567.15"/>
    <n v="80"/>
    <x v="2"/>
    <x v="3"/>
    <n v="3"/>
  </r>
  <r>
    <x v="196"/>
    <s v="Michelle Perez"/>
    <n v="61"/>
    <x v="1"/>
    <x v="47"/>
    <d v="2024-09-11T00:00:00"/>
    <x v="1"/>
    <x v="7"/>
    <n v="917.44"/>
    <n v="80"/>
    <x v="0"/>
    <x v="0"/>
    <n v="1"/>
  </r>
  <r>
    <x v="197"/>
    <s v="Nancy Harris"/>
    <n v="81"/>
    <x v="1"/>
    <x v="174"/>
    <d v="2025-12-12T00:00:00"/>
    <x v="0"/>
    <x v="19"/>
    <n v="18345.38"/>
    <n v="80"/>
    <x v="1"/>
    <x v="1"/>
    <n v="9"/>
  </r>
  <r>
    <x v="198"/>
    <s v="Ashley Moore"/>
    <n v="53"/>
    <x v="1"/>
    <x v="175"/>
    <d v="2024-12-09T00:00:00"/>
    <x v="5"/>
    <x v="12"/>
    <n v="19211.240000000002"/>
    <n v="90"/>
    <x v="0"/>
    <x v="0"/>
    <n v="9"/>
  </r>
  <r>
    <x v="199"/>
    <s v="Joshua Rodriguez"/>
    <n v="48"/>
    <x v="0"/>
    <x v="176"/>
    <d v="2025-06-01T00:00:00"/>
    <x v="0"/>
    <x v="1"/>
    <n v="10336.58"/>
    <n v="100"/>
    <x v="0"/>
    <x v="3"/>
    <n v="4"/>
  </r>
  <r>
    <x v="200"/>
    <s v="Lisa Martin"/>
    <n v="64"/>
    <x v="1"/>
    <x v="177"/>
    <d v="2025-02-24T00:00:00"/>
    <x v="2"/>
    <x v="33"/>
    <n v="4926.12"/>
    <n v="70"/>
    <x v="1"/>
    <x v="0"/>
    <n v="7"/>
  </r>
  <r>
    <x v="201"/>
    <s v="Susan Davis"/>
    <n v="80"/>
    <x v="1"/>
    <x v="178"/>
    <d v="2024-07-24T00:00:00"/>
    <x v="5"/>
    <x v="35"/>
    <n v="13102.72"/>
    <n v="50"/>
    <x v="1"/>
    <x v="1"/>
    <n v="6"/>
  </r>
  <r>
    <x v="202"/>
    <s v="Anthony Anderson"/>
    <n v="56"/>
    <x v="0"/>
    <x v="179"/>
    <d v="2024-03-11T00:00:00"/>
    <x v="2"/>
    <x v="5"/>
    <n v="4595.79"/>
    <n v="80"/>
    <x v="0"/>
    <x v="0"/>
    <n v="7"/>
  </r>
  <r>
    <x v="203"/>
    <s v="Kenneth Jones"/>
    <n v="63"/>
    <x v="0"/>
    <x v="118"/>
    <d v="2024-12-02T00:00:00"/>
    <x v="1"/>
    <x v="31"/>
    <n v="3717.61"/>
    <n v="90"/>
    <x v="1"/>
    <x v="0"/>
    <n v="3"/>
  </r>
  <r>
    <x v="204"/>
    <s v="Daniel Young"/>
    <n v="43"/>
    <x v="0"/>
    <x v="180"/>
    <d v="2026-01-03T00:00:00"/>
    <x v="4"/>
    <x v="18"/>
    <n v="33810.44"/>
    <n v="90"/>
    <x v="0"/>
    <x v="3"/>
    <n v="13"/>
  </r>
  <r>
    <x v="205"/>
    <s v="Betty Williams"/>
    <n v="8"/>
    <x v="1"/>
    <x v="181"/>
    <d v="2025-01-07T00:00:00"/>
    <x v="3"/>
    <x v="22"/>
    <n v="4115.83"/>
    <n v="50"/>
    <x v="0"/>
    <x v="4"/>
    <n v="4"/>
  </r>
  <r>
    <x v="206"/>
    <s v="Ashley Brown"/>
    <n v="56"/>
    <x v="1"/>
    <x v="70"/>
    <d v="2025-04-07T00:00:00"/>
    <x v="2"/>
    <x v="5"/>
    <n v="8245.4599999999991"/>
    <n v="50"/>
    <x v="2"/>
    <x v="0"/>
    <n v="6"/>
  </r>
  <r>
    <x v="207"/>
    <s v="Anthony Rodriguez"/>
    <n v="11"/>
    <x v="0"/>
    <x v="182"/>
    <d v="2025-02-21T00:00:00"/>
    <x v="3"/>
    <x v="9"/>
    <n v="7654.55"/>
    <n v="100"/>
    <x v="0"/>
    <x v="4"/>
    <n v="5"/>
  </r>
  <r>
    <x v="208"/>
    <s v="Joshua Moore"/>
    <n v="52"/>
    <x v="0"/>
    <x v="24"/>
    <d v="2025-02-22T00:00:00"/>
    <x v="5"/>
    <x v="28"/>
    <n v="7167.44"/>
    <n v="80"/>
    <x v="0"/>
    <x v="0"/>
    <n v="4"/>
  </r>
  <r>
    <x v="209"/>
    <s v="Barbara Young"/>
    <n v="53"/>
    <x v="1"/>
    <x v="183"/>
    <d v="2025-06-03T00:00:00"/>
    <x v="1"/>
    <x v="2"/>
    <n v="2556.12"/>
    <n v="80"/>
    <x v="0"/>
    <x v="0"/>
    <n v="2"/>
  </r>
  <r>
    <x v="210"/>
    <s v="Christopher White"/>
    <n v="3"/>
    <x v="0"/>
    <x v="184"/>
    <d v="2024-08-08T00:00:00"/>
    <x v="3"/>
    <x v="24"/>
    <n v="3139.43"/>
    <n v="80"/>
    <x v="0"/>
    <x v="4"/>
    <n v="3"/>
  </r>
  <r>
    <x v="211"/>
    <s v="William Perez"/>
    <n v="84"/>
    <x v="0"/>
    <x v="63"/>
    <d v="2025-03-16T00:00:00"/>
    <x v="1"/>
    <x v="2"/>
    <n v="1893.98"/>
    <n v="90"/>
    <x v="0"/>
    <x v="1"/>
    <n v="1"/>
  </r>
  <r>
    <x v="212"/>
    <s v="Emily Clark"/>
    <n v="32"/>
    <x v="1"/>
    <x v="185"/>
    <d v="2025-07-02T00:00:00"/>
    <x v="5"/>
    <x v="28"/>
    <n v="11663.48"/>
    <n v="0"/>
    <x v="1"/>
    <x v="2"/>
    <n v="6"/>
  </r>
  <r>
    <x v="213"/>
    <s v="Mary Taylor"/>
    <n v="39"/>
    <x v="1"/>
    <x v="186"/>
    <d v="2024-09-09T00:00:00"/>
    <x v="2"/>
    <x v="21"/>
    <n v="1596.88"/>
    <n v="50"/>
    <x v="2"/>
    <x v="3"/>
    <n v="3"/>
  </r>
  <r>
    <x v="214"/>
    <s v="Michelle Garcia"/>
    <n v="49"/>
    <x v="1"/>
    <x v="187"/>
    <d v="2024-08-09T00:00:00"/>
    <x v="2"/>
    <x v="8"/>
    <n v="4111.79"/>
    <n v="80"/>
    <x v="0"/>
    <x v="3"/>
    <n v="5"/>
  </r>
  <r>
    <x v="215"/>
    <s v="Michael Perez"/>
    <n v="28"/>
    <x v="0"/>
    <x v="188"/>
    <d v="2024-03-27T00:00:00"/>
    <x v="1"/>
    <x v="2"/>
    <n v="6606.32"/>
    <n v="80"/>
    <x v="0"/>
    <x v="2"/>
    <n v="3"/>
  </r>
  <r>
    <x v="216"/>
    <s v="Carol White"/>
    <n v="53"/>
    <x v="1"/>
    <x v="186"/>
    <d v="2024-09-18T00:00:00"/>
    <x v="5"/>
    <x v="35"/>
    <n v="31197"/>
    <n v="80"/>
    <x v="1"/>
    <x v="0"/>
    <n v="12"/>
  </r>
  <r>
    <x v="217"/>
    <s v="Christopher Perez"/>
    <n v="46"/>
    <x v="0"/>
    <x v="189"/>
    <d v="2025-01-11T00:00:00"/>
    <x v="0"/>
    <x v="1"/>
    <n v="23891.3"/>
    <n v="90"/>
    <x v="0"/>
    <x v="3"/>
    <n v="10"/>
  </r>
  <r>
    <x v="218"/>
    <s v="David Moore"/>
    <n v="66"/>
    <x v="0"/>
    <x v="190"/>
    <d v="2025-11-27T00:00:00"/>
    <x v="0"/>
    <x v="20"/>
    <n v="18293.13"/>
    <n v="60"/>
    <x v="2"/>
    <x v="5"/>
    <n v="10"/>
  </r>
  <r>
    <x v="219"/>
    <s v="Emily Walker"/>
    <n v="28"/>
    <x v="1"/>
    <x v="13"/>
    <d v="2024-08-23T00:00:00"/>
    <x v="1"/>
    <x v="31"/>
    <n v="7364.68"/>
    <n v="70"/>
    <x v="1"/>
    <x v="2"/>
    <n v="3"/>
  </r>
  <r>
    <x v="220"/>
    <s v="Jessica Jackson"/>
    <n v="3"/>
    <x v="1"/>
    <x v="141"/>
    <d v="2024-06-28T00:00:00"/>
    <x v="3"/>
    <x v="9"/>
    <n v="2403.02"/>
    <n v="80"/>
    <x v="0"/>
    <x v="4"/>
    <n v="2"/>
  </r>
  <r>
    <x v="221"/>
    <s v="Thomas Miller"/>
    <n v="68"/>
    <x v="0"/>
    <x v="191"/>
    <d v="2025-12-09T00:00:00"/>
    <x v="5"/>
    <x v="17"/>
    <n v="22054.65"/>
    <n v="80"/>
    <x v="1"/>
    <x v="1"/>
    <n v="10"/>
  </r>
  <r>
    <x v="222"/>
    <s v="Kevin Taylor"/>
    <n v="40"/>
    <x v="0"/>
    <x v="66"/>
    <d v="2025-12-27T00:00:00"/>
    <x v="2"/>
    <x v="8"/>
    <n v="6331.28"/>
    <n v="80"/>
    <x v="2"/>
    <x v="3"/>
    <n v="5"/>
  </r>
  <r>
    <x v="223"/>
    <s v="Richard Robinson"/>
    <n v="63"/>
    <x v="0"/>
    <x v="192"/>
    <d v="2024-10-19T00:00:00"/>
    <x v="0"/>
    <x v="29"/>
    <n v="27345.03"/>
    <n v="100"/>
    <x v="1"/>
    <x v="0"/>
    <n v="10"/>
  </r>
  <r>
    <x v="224"/>
    <s v="Michelle Martinez"/>
    <n v="44"/>
    <x v="1"/>
    <x v="130"/>
    <d v="2024-05-10T00:00:00"/>
    <x v="4"/>
    <x v="11"/>
    <n v="11435.94"/>
    <n v="90"/>
    <x v="0"/>
    <x v="3"/>
    <n v="8"/>
  </r>
  <r>
    <x v="225"/>
    <s v="William Young"/>
    <n v="70"/>
    <x v="0"/>
    <x v="193"/>
    <d v="2024-09-19T00:00:00"/>
    <x v="1"/>
    <x v="36"/>
    <n v="859.95"/>
    <n v="60"/>
    <x v="1"/>
    <x v="1"/>
    <n v="1"/>
  </r>
  <r>
    <x v="226"/>
    <s v="Richard Smith"/>
    <n v="1"/>
    <x v="0"/>
    <x v="137"/>
    <d v="2024-04-21T00:00:00"/>
    <x v="3"/>
    <x v="23"/>
    <n v="2590.21"/>
    <n v="90"/>
    <x v="1"/>
    <x v="4"/>
    <n v="3"/>
  </r>
  <r>
    <x v="227"/>
    <s v="Betty Thompson"/>
    <n v="48"/>
    <x v="1"/>
    <x v="194"/>
    <d v="2025-07-27T00:00:00"/>
    <x v="2"/>
    <x v="8"/>
    <n v="791.92"/>
    <n v="50"/>
    <x v="2"/>
    <x v="3"/>
    <n v="1"/>
  </r>
  <r>
    <x v="228"/>
    <s v="Jessica Young"/>
    <n v="48"/>
    <x v="1"/>
    <x v="144"/>
    <d v="2024-08-13T00:00:00"/>
    <x v="1"/>
    <x v="32"/>
    <n v="3524.43"/>
    <n v="80"/>
    <x v="0"/>
    <x v="3"/>
    <n v="3"/>
  </r>
  <r>
    <x v="229"/>
    <s v="Joshua Taylor"/>
    <n v="43"/>
    <x v="0"/>
    <x v="195"/>
    <d v="2024-06-14T00:00:00"/>
    <x v="4"/>
    <x v="18"/>
    <n v="4464.59"/>
    <n v="0"/>
    <x v="2"/>
    <x v="3"/>
    <n v="2"/>
  </r>
  <r>
    <x v="230"/>
    <s v="Karen Robinson"/>
    <n v="24"/>
    <x v="1"/>
    <x v="23"/>
    <d v="2024-03-22T00:00:00"/>
    <x v="1"/>
    <x v="36"/>
    <n v="4867.6099999999997"/>
    <n v="70"/>
    <x v="0"/>
    <x v="2"/>
    <n v="3"/>
  </r>
  <r>
    <x v="231"/>
    <s v="Daniel Harris"/>
    <n v="41"/>
    <x v="0"/>
    <x v="196"/>
    <d v="2024-11-13T00:00:00"/>
    <x v="0"/>
    <x v="29"/>
    <n v="5584.74"/>
    <n v="100"/>
    <x v="0"/>
    <x v="3"/>
    <n v="4"/>
  </r>
  <r>
    <x v="232"/>
    <s v="Sarah Perez"/>
    <n v="51"/>
    <x v="1"/>
    <x v="55"/>
    <d v="2025-05-07T00:00:00"/>
    <x v="1"/>
    <x v="2"/>
    <n v="4718.74"/>
    <n v="80"/>
    <x v="1"/>
    <x v="0"/>
    <n v="2"/>
  </r>
  <r>
    <x v="233"/>
    <s v="Joseph Robinson"/>
    <n v="10"/>
    <x v="0"/>
    <x v="197"/>
    <d v="2025-02-15T00:00:00"/>
    <x v="3"/>
    <x v="37"/>
    <n v="1605.56"/>
    <n v="80"/>
    <x v="1"/>
    <x v="4"/>
    <n v="1"/>
  </r>
  <r>
    <x v="234"/>
    <s v="Kenneth Anderson"/>
    <n v="75"/>
    <x v="0"/>
    <x v="198"/>
    <d v="2025-03-01T00:00:00"/>
    <x v="2"/>
    <x v="5"/>
    <n v="1383.31"/>
    <n v="90"/>
    <x v="0"/>
    <x v="1"/>
    <n v="1"/>
  </r>
  <r>
    <x v="235"/>
    <s v="Ashley Williams"/>
    <n v="50"/>
    <x v="1"/>
    <x v="199"/>
    <d v="2025-04-08T00:00:00"/>
    <x v="0"/>
    <x v="20"/>
    <n v="19135.11"/>
    <n v="80"/>
    <x v="0"/>
    <x v="3"/>
    <n v="8"/>
  </r>
  <r>
    <x v="236"/>
    <s v="Dorothy Taylor"/>
    <n v="46"/>
    <x v="1"/>
    <x v="200"/>
    <d v="2024-10-17T00:00:00"/>
    <x v="4"/>
    <x v="14"/>
    <n v="9234.25"/>
    <n v="70"/>
    <x v="1"/>
    <x v="3"/>
    <n v="4"/>
  </r>
  <r>
    <x v="237"/>
    <s v="William Williams"/>
    <n v="83"/>
    <x v="0"/>
    <x v="201"/>
    <d v="2024-06-29T00:00:00"/>
    <x v="0"/>
    <x v="20"/>
    <n v="7388.36"/>
    <n v="90"/>
    <x v="0"/>
    <x v="1"/>
    <n v="5"/>
  </r>
  <r>
    <x v="238"/>
    <s v="Ashley Thomas"/>
    <n v="17"/>
    <x v="1"/>
    <x v="126"/>
    <d v="2024-06-25T00:00:00"/>
    <x v="3"/>
    <x v="24"/>
    <n v="2080.9499999999998"/>
    <n v="100"/>
    <x v="2"/>
    <x v="4"/>
    <n v="3"/>
  </r>
  <r>
    <x v="239"/>
    <s v="Richard Young"/>
    <n v="70"/>
    <x v="0"/>
    <x v="202"/>
    <d v="2024-01-12T00:00:00"/>
    <x v="4"/>
    <x v="26"/>
    <n v="5457.97"/>
    <n v="80"/>
    <x v="0"/>
    <x v="1"/>
    <n v="2"/>
  </r>
  <r>
    <x v="240"/>
    <s v="Donna Jones"/>
    <n v="42"/>
    <x v="1"/>
    <x v="203"/>
    <d v="2024-08-30T00:00:00"/>
    <x v="4"/>
    <x v="13"/>
    <n v="15047.59"/>
    <n v="80"/>
    <x v="0"/>
    <x v="3"/>
    <n v="12"/>
  </r>
  <r>
    <x v="241"/>
    <s v="Susan Brown"/>
    <n v="16"/>
    <x v="1"/>
    <x v="100"/>
    <d v="2024-12-06T00:00:00"/>
    <x v="3"/>
    <x v="37"/>
    <n v="2737.97"/>
    <n v="90"/>
    <x v="0"/>
    <x v="4"/>
    <n v="2"/>
  </r>
  <r>
    <x v="242"/>
    <s v="Thomas Miller"/>
    <n v="58"/>
    <x v="0"/>
    <x v="204"/>
    <d v="2025-01-07T00:00:00"/>
    <x v="4"/>
    <x v="13"/>
    <n v="19026.97"/>
    <n v="80"/>
    <x v="1"/>
    <x v="0"/>
    <n v="14"/>
  </r>
  <r>
    <x v="243"/>
    <s v="Matthew Clark"/>
    <n v="35"/>
    <x v="0"/>
    <x v="74"/>
    <d v="2024-02-04T00:00:00"/>
    <x v="1"/>
    <x v="31"/>
    <n v="4955.5"/>
    <n v="90"/>
    <x v="1"/>
    <x v="2"/>
    <n v="3"/>
  </r>
  <r>
    <x v="244"/>
    <s v="Karen Ramirez"/>
    <n v="58"/>
    <x v="1"/>
    <x v="205"/>
    <d v="2025-04-12T00:00:00"/>
    <x v="1"/>
    <x v="36"/>
    <n v="4048.56"/>
    <n v="80"/>
    <x v="1"/>
    <x v="0"/>
    <n v="2"/>
  </r>
  <r>
    <x v="245"/>
    <s v="Joseph Perez"/>
    <n v="47"/>
    <x v="0"/>
    <x v="206"/>
    <d v="2025-12-10T00:00:00"/>
    <x v="2"/>
    <x v="33"/>
    <n v="6918.6"/>
    <n v="80"/>
    <x v="0"/>
    <x v="3"/>
    <n v="6"/>
  </r>
  <r>
    <x v="246"/>
    <s v="Elizabeth Jackson"/>
    <n v="8"/>
    <x v="1"/>
    <x v="204"/>
    <d v="2024-12-27T00:00:00"/>
    <x v="3"/>
    <x v="23"/>
    <n v="3846.88"/>
    <n v="80"/>
    <x v="0"/>
    <x v="4"/>
    <n v="3"/>
  </r>
  <r>
    <x v="247"/>
    <s v="Carol Taylor"/>
    <n v="65"/>
    <x v="1"/>
    <x v="57"/>
    <d v="2025-05-03T00:00:00"/>
    <x v="2"/>
    <x v="21"/>
    <n v="3019.93"/>
    <n v="70"/>
    <x v="2"/>
    <x v="0"/>
    <n v="4"/>
  </r>
  <r>
    <x v="248"/>
    <s v="Robert Walker"/>
    <n v="4"/>
    <x v="0"/>
    <x v="207"/>
    <d v="2024-12-02T00:00:00"/>
    <x v="3"/>
    <x v="25"/>
    <n v="3543.7"/>
    <n v="90"/>
    <x v="1"/>
    <x v="4"/>
    <n v="4"/>
  </r>
  <r>
    <x v="249"/>
    <s v="Joshua Martin"/>
    <n v="55"/>
    <x v="0"/>
    <x v="208"/>
    <d v="2025-07-16T00:00:00"/>
    <x v="4"/>
    <x v="27"/>
    <n v="2354.4899999999998"/>
    <n v="60"/>
    <x v="2"/>
    <x v="0"/>
    <n v="2"/>
  </r>
  <r>
    <x v="250"/>
    <s v="Ashley Thomas"/>
    <n v="47"/>
    <x v="1"/>
    <x v="209"/>
    <d v="2025-09-19T00:00:00"/>
    <x v="1"/>
    <x v="2"/>
    <n v="4854.92"/>
    <n v="70"/>
    <x v="2"/>
    <x v="3"/>
    <n v="3"/>
  </r>
  <r>
    <x v="251"/>
    <s v="Sandra Moore"/>
    <n v="7"/>
    <x v="1"/>
    <x v="107"/>
    <d v="2024-07-07T00:00:00"/>
    <x v="3"/>
    <x v="37"/>
    <n v="2341.4499999999998"/>
    <n v="90"/>
    <x v="1"/>
    <x v="4"/>
    <n v="2"/>
  </r>
  <r>
    <x v="252"/>
    <s v="Andrew Walker"/>
    <n v="8"/>
    <x v="0"/>
    <x v="111"/>
    <d v="2024-11-10T00:00:00"/>
    <x v="3"/>
    <x v="24"/>
    <n v="6634.75"/>
    <n v="100"/>
    <x v="1"/>
    <x v="4"/>
    <n v="5"/>
  </r>
  <r>
    <x v="253"/>
    <s v="Linda Hernandez"/>
    <n v="11"/>
    <x v="1"/>
    <x v="210"/>
    <d v="2025-04-26T00:00:00"/>
    <x v="3"/>
    <x v="23"/>
    <n v="2307.54"/>
    <n v="70"/>
    <x v="1"/>
    <x v="4"/>
    <n v="3"/>
  </r>
  <r>
    <x v="254"/>
    <s v="Mark Clark"/>
    <n v="29"/>
    <x v="0"/>
    <x v="211"/>
    <d v="2025-11-07T00:00:00"/>
    <x v="2"/>
    <x v="10"/>
    <n v="6481.41"/>
    <n v="60"/>
    <x v="2"/>
    <x v="2"/>
    <n v="5"/>
  </r>
  <r>
    <x v="255"/>
    <s v="Brian Wilson"/>
    <n v="43"/>
    <x v="0"/>
    <x v="101"/>
    <d v="2024-01-14T00:00:00"/>
    <x v="0"/>
    <x v="6"/>
    <n v="14839.54"/>
    <n v="70"/>
    <x v="2"/>
    <x v="3"/>
    <n v="9"/>
  </r>
  <r>
    <x v="256"/>
    <s v="Emily Thomas"/>
    <n v="31"/>
    <x v="1"/>
    <x v="212"/>
    <d v="2025-11-26T00:00:00"/>
    <x v="5"/>
    <x v="17"/>
    <n v="8724.32"/>
    <n v="80"/>
    <x v="1"/>
    <x v="2"/>
    <n v="5"/>
  </r>
  <r>
    <x v="257"/>
    <s v="Sandra Brown"/>
    <n v="74"/>
    <x v="1"/>
    <x v="213"/>
    <d v="2025-04-23T00:00:00"/>
    <x v="2"/>
    <x v="4"/>
    <n v="8724.0499999999993"/>
    <n v="50"/>
    <x v="1"/>
    <x v="1"/>
    <n v="6"/>
  </r>
  <r>
    <x v="258"/>
    <s v="Dorothy Harris"/>
    <n v="60"/>
    <x v="1"/>
    <x v="214"/>
    <d v="2025-03-02T00:00:00"/>
    <x v="0"/>
    <x v="29"/>
    <n v="12277.2"/>
    <n v="100"/>
    <x v="0"/>
    <x v="0"/>
    <n v="7"/>
  </r>
  <r>
    <x v="259"/>
    <s v="Ashley Rodriguez"/>
    <n v="82"/>
    <x v="1"/>
    <x v="126"/>
    <d v="2024-06-25T00:00:00"/>
    <x v="1"/>
    <x v="2"/>
    <n v="7304.79"/>
    <n v="90"/>
    <x v="0"/>
    <x v="1"/>
    <n v="3"/>
  </r>
  <r>
    <x v="260"/>
    <s v="Dorothy Ramirez"/>
    <n v="44"/>
    <x v="1"/>
    <x v="27"/>
    <d v="2025-01-28T00:00:00"/>
    <x v="1"/>
    <x v="7"/>
    <n v="4042.99"/>
    <n v="100"/>
    <x v="2"/>
    <x v="3"/>
    <n v="3"/>
  </r>
  <r>
    <x v="261"/>
    <s v="David Rodriguez"/>
    <n v="25"/>
    <x v="0"/>
    <x v="215"/>
    <d v="2024-04-27T00:00:00"/>
    <x v="2"/>
    <x v="16"/>
    <n v="2452.73"/>
    <n v="0"/>
    <x v="2"/>
    <x v="2"/>
    <n v="3"/>
  </r>
  <r>
    <x v="262"/>
    <s v="Karen Harris"/>
    <n v="15"/>
    <x v="1"/>
    <x v="216"/>
    <d v="2025-12-21T00:00:00"/>
    <x v="3"/>
    <x v="25"/>
    <n v="1535.75"/>
    <n v="90"/>
    <x v="0"/>
    <x v="4"/>
    <n v="2"/>
  </r>
  <r>
    <x v="263"/>
    <s v="Michelle Wilson"/>
    <n v="39"/>
    <x v="1"/>
    <x v="217"/>
    <d v="2024-10-27T00:00:00"/>
    <x v="2"/>
    <x v="21"/>
    <n v="600.19000000000005"/>
    <n v="100"/>
    <x v="0"/>
    <x v="3"/>
    <n v="1"/>
  </r>
  <r>
    <x v="264"/>
    <s v="Emily Young"/>
    <n v="73"/>
    <x v="1"/>
    <x v="218"/>
    <d v="2024-08-29T00:00:00"/>
    <x v="1"/>
    <x v="15"/>
    <n v="2662.2"/>
    <n v="100"/>
    <x v="0"/>
    <x v="1"/>
    <n v="2"/>
  </r>
  <r>
    <x v="265"/>
    <s v="William Clark"/>
    <n v="58"/>
    <x v="0"/>
    <x v="210"/>
    <d v="2025-04-26T00:00:00"/>
    <x v="1"/>
    <x v="2"/>
    <n v="2947.4"/>
    <n v="90"/>
    <x v="0"/>
    <x v="0"/>
    <n v="3"/>
  </r>
  <r>
    <x v="266"/>
    <s v="James Hernandez"/>
    <n v="58"/>
    <x v="0"/>
    <x v="219"/>
    <d v="2025-06-10T00:00:00"/>
    <x v="4"/>
    <x v="26"/>
    <n v="6487.43"/>
    <n v="80"/>
    <x v="0"/>
    <x v="0"/>
    <n v="3"/>
  </r>
  <r>
    <x v="267"/>
    <s v="Elizabeth White"/>
    <n v="78"/>
    <x v="1"/>
    <x v="220"/>
    <d v="2025-07-29T00:00:00"/>
    <x v="0"/>
    <x v="29"/>
    <n v="5274.8"/>
    <n v="80"/>
    <x v="0"/>
    <x v="1"/>
    <n v="4"/>
  </r>
  <r>
    <x v="268"/>
    <s v="Matthew Martin"/>
    <n v="56"/>
    <x v="0"/>
    <x v="221"/>
    <d v="2025-09-25T00:00:00"/>
    <x v="0"/>
    <x v="0"/>
    <n v="17770.45"/>
    <n v="100"/>
    <x v="0"/>
    <x v="0"/>
    <n v="6"/>
  </r>
  <r>
    <x v="269"/>
    <s v="Nancy Garcia"/>
    <n v="50"/>
    <x v="1"/>
    <x v="77"/>
    <d v="2025-12-12T00:00:00"/>
    <x v="4"/>
    <x v="26"/>
    <n v="38493.53"/>
    <n v="0"/>
    <x v="0"/>
    <x v="3"/>
    <n v="14"/>
  </r>
  <r>
    <x v="270"/>
    <s v="Betty Anderson"/>
    <n v="71"/>
    <x v="1"/>
    <x v="222"/>
    <d v="2024-03-18T00:00:00"/>
    <x v="2"/>
    <x v="4"/>
    <n v="3136.05"/>
    <n v="90"/>
    <x v="0"/>
    <x v="1"/>
    <n v="3"/>
  </r>
  <r>
    <x v="271"/>
    <s v="Emily Moore"/>
    <n v="41"/>
    <x v="1"/>
    <x v="223"/>
    <d v="2025-12-18T00:00:00"/>
    <x v="0"/>
    <x v="19"/>
    <n v="28492.22"/>
    <n v="90"/>
    <x v="0"/>
    <x v="3"/>
    <n v="10"/>
  </r>
  <r>
    <x v="272"/>
    <s v="Mark Martinez"/>
    <n v="47"/>
    <x v="0"/>
    <x v="177"/>
    <d v="2025-02-25T00:00:00"/>
    <x v="0"/>
    <x v="20"/>
    <n v="11794.68"/>
    <n v="70"/>
    <x v="2"/>
    <x v="3"/>
    <n v="8"/>
  </r>
  <r>
    <x v="273"/>
    <s v="Elizabeth Lewis"/>
    <n v="16"/>
    <x v="1"/>
    <x v="224"/>
    <d v="2024-12-12T00:00:00"/>
    <x v="3"/>
    <x v="24"/>
    <n v="5980.76"/>
    <n v="80"/>
    <x v="0"/>
    <x v="4"/>
    <n v="4"/>
  </r>
  <r>
    <x v="274"/>
    <s v="Lisa Rodriguez"/>
    <n v="56"/>
    <x v="1"/>
    <x v="103"/>
    <d v="2025-09-23T00:00:00"/>
    <x v="5"/>
    <x v="35"/>
    <n v="16835.150000000001"/>
    <n v="100"/>
    <x v="0"/>
    <x v="0"/>
    <n v="11"/>
  </r>
  <r>
    <x v="275"/>
    <s v="Elizabeth Walker"/>
    <n v="69"/>
    <x v="1"/>
    <x v="225"/>
    <d v="2025-10-07T00:00:00"/>
    <x v="2"/>
    <x v="21"/>
    <n v="2837.18"/>
    <n v="100"/>
    <x v="2"/>
    <x v="1"/>
    <n v="4"/>
  </r>
  <r>
    <x v="276"/>
    <s v="Kimberly White"/>
    <n v="39"/>
    <x v="1"/>
    <x v="80"/>
    <d v="2025-05-08T00:00:00"/>
    <x v="2"/>
    <x v="5"/>
    <n v="5652.05"/>
    <n v="0"/>
    <x v="1"/>
    <x v="3"/>
    <n v="7"/>
  </r>
  <r>
    <x v="277"/>
    <s v="Michelle Hernandez"/>
    <n v="51"/>
    <x v="1"/>
    <x v="226"/>
    <d v="2024-03-05T00:00:00"/>
    <x v="0"/>
    <x v="0"/>
    <n v="15284.52"/>
    <n v="90"/>
    <x v="0"/>
    <x v="0"/>
    <n v="8"/>
  </r>
  <r>
    <x v="278"/>
    <s v="Michael Moore"/>
    <n v="22"/>
    <x v="0"/>
    <x v="126"/>
    <d v="2024-06-27T00:00:00"/>
    <x v="2"/>
    <x v="8"/>
    <n v="6837.91"/>
    <n v="80"/>
    <x v="1"/>
    <x v="2"/>
    <n v="5"/>
  </r>
  <r>
    <x v="279"/>
    <s v="Emily Johnson"/>
    <n v="27"/>
    <x v="1"/>
    <x v="227"/>
    <d v="2025-07-25T00:00:00"/>
    <x v="4"/>
    <x v="13"/>
    <n v="16726.009999999998"/>
    <n v="80"/>
    <x v="0"/>
    <x v="2"/>
    <n v="10"/>
  </r>
  <r>
    <x v="280"/>
    <s v="Karen Davis"/>
    <n v="85"/>
    <x v="1"/>
    <x v="228"/>
    <d v="2024-09-18T00:00:00"/>
    <x v="0"/>
    <x v="20"/>
    <n v="17937.11"/>
    <n v="70"/>
    <x v="2"/>
    <x v="1"/>
    <n v="6"/>
  </r>
  <r>
    <x v="281"/>
    <s v="Anthony Wilson"/>
    <n v="33"/>
    <x v="0"/>
    <x v="111"/>
    <d v="2024-11-19T00:00:00"/>
    <x v="4"/>
    <x v="27"/>
    <n v="27571.59"/>
    <n v="90"/>
    <x v="0"/>
    <x v="2"/>
    <n v="14"/>
  </r>
  <r>
    <x v="282"/>
    <s v="Emily Moore"/>
    <n v="83"/>
    <x v="1"/>
    <x v="84"/>
    <d v="2024-10-30T00:00:00"/>
    <x v="0"/>
    <x v="20"/>
    <n v="13621.44"/>
    <n v="70"/>
    <x v="2"/>
    <x v="1"/>
    <n v="6"/>
  </r>
  <r>
    <x v="283"/>
    <s v="Daniel Perez"/>
    <n v="54"/>
    <x v="0"/>
    <x v="229"/>
    <d v="2024-10-19T00:00:00"/>
    <x v="5"/>
    <x v="35"/>
    <n v="7553.52"/>
    <n v="50"/>
    <x v="0"/>
    <x v="0"/>
    <n v="5"/>
  </r>
  <r>
    <x v="284"/>
    <s v="Michelle Harris"/>
    <n v="53"/>
    <x v="1"/>
    <x v="88"/>
    <d v="2024-11-29T00:00:00"/>
    <x v="4"/>
    <x v="26"/>
    <n v="34671.78"/>
    <n v="60"/>
    <x v="0"/>
    <x v="0"/>
    <n v="13"/>
  </r>
  <r>
    <x v="285"/>
    <s v="Robert Johnson"/>
    <n v="81"/>
    <x v="0"/>
    <x v="230"/>
    <d v="2025-08-04T00:00:00"/>
    <x v="0"/>
    <x v="20"/>
    <n v="13674.29"/>
    <n v="80"/>
    <x v="0"/>
    <x v="1"/>
    <n v="5"/>
  </r>
  <r>
    <x v="286"/>
    <s v="Susan Harris"/>
    <n v="31"/>
    <x v="1"/>
    <x v="24"/>
    <d v="2025-02-28T00:00:00"/>
    <x v="5"/>
    <x v="28"/>
    <n v="18872.25"/>
    <n v="100"/>
    <x v="0"/>
    <x v="2"/>
    <n v="10"/>
  </r>
  <r>
    <x v="287"/>
    <s v="Mark Jones"/>
    <n v="22"/>
    <x v="0"/>
    <x v="231"/>
    <d v="2024-12-28T00:00:00"/>
    <x v="2"/>
    <x v="8"/>
    <n v="8363.1"/>
    <n v="60"/>
    <x v="2"/>
    <x v="2"/>
    <n v="6"/>
  </r>
  <r>
    <x v="288"/>
    <s v="Thomas Young"/>
    <n v="1"/>
    <x v="0"/>
    <x v="191"/>
    <d v="2025-12-02T00:00:00"/>
    <x v="3"/>
    <x v="23"/>
    <n v="3886.44"/>
    <n v="90"/>
    <x v="0"/>
    <x v="4"/>
    <n v="3"/>
  </r>
  <r>
    <x v="289"/>
    <s v="Joshua Johnson"/>
    <n v="52"/>
    <x v="0"/>
    <x v="232"/>
    <d v="2025-10-01T00:00:00"/>
    <x v="2"/>
    <x v="16"/>
    <n v="2780.94"/>
    <n v="80"/>
    <x v="0"/>
    <x v="0"/>
    <n v="2"/>
  </r>
  <r>
    <x v="290"/>
    <s v="Joshua Clark"/>
    <n v="11"/>
    <x v="0"/>
    <x v="113"/>
    <d v="2024-04-18T00:00:00"/>
    <x v="3"/>
    <x v="9"/>
    <n v="1277.56"/>
    <n v="70"/>
    <x v="1"/>
    <x v="4"/>
    <n v="1"/>
  </r>
  <r>
    <x v="291"/>
    <s v="Kimberly Rodriguez"/>
    <n v="6"/>
    <x v="1"/>
    <x v="233"/>
    <d v="2024-02-24T00:00:00"/>
    <x v="3"/>
    <x v="25"/>
    <n v="2921.29"/>
    <n v="50"/>
    <x v="2"/>
    <x v="4"/>
    <n v="3"/>
  </r>
  <r>
    <x v="292"/>
    <s v="Nancy Johnson"/>
    <n v="74"/>
    <x v="1"/>
    <x v="234"/>
    <d v="2024-07-16T00:00:00"/>
    <x v="1"/>
    <x v="3"/>
    <n v="4516.54"/>
    <n v="70"/>
    <x v="1"/>
    <x v="1"/>
    <n v="3"/>
  </r>
  <r>
    <x v="293"/>
    <s v="Michelle Martin"/>
    <n v="37"/>
    <x v="1"/>
    <x v="54"/>
    <d v="2024-04-03T00:00:00"/>
    <x v="4"/>
    <x v="26"/>
    <n v="15943.22"/>
    <n v="80"/>
    <x v="0"/>
    <x v="3"/>
    <n v="13"/>
  </r>
  <r>
    <x v="294"/>
    <s v="Michelle Lee"/>
    <n v="84"/>
    <x v="1"/>
    <x v="235"/>
    <d v="2024-06-03T00:00:00"/>
    <x v="0"/>
    <x v="1"/>
    <n v="6113"/>
    <n v="80"/>
    <x v="0"/>
    <x v="1"/>
    <n v="3"/>
  </r>
  <r>
    <x v="295"/>
    <s v="Richard Young"/>
    <n v="70"/>
    <x v="0"/>
    <x v="236"/>
    <d v="2024-08-06T00:00:00"/>
    <x v="1"/>
    <x v="7"/>
    <n v="4356.16"/>
    <n v="0"/>
    <x v="0"/>
    <x v="1"/>
    <n v="3"/>
  </r>
  <r>
    <x v="296"/>
    <s v="Thomas Walker"/>
    <n v="18"/>
    <x v="0"/>
    <x v="237"/>
    <d v="2025-05-20T00:00:00"/>
    <x v="1"/>
    <x v="2"/>
    <n v="2810.17"/>
    <n v="90"/>
    <x v="0"/>
    <x v="2"/>
    <n v="3"/>
  </r>
  <r>
    <x v="297"/>
    <s v="Kimberly Smith"/>
    <n v="41"/>
    <x v="1"/>
    <x v="238"/>
    <d v="2024-09-28T00:00:00"/>
    <x v="2"/>
    <x v="16"/>
    <n v="3049.69"/>
    <n v="60"/>
    <x v="0"/>
    <x v="3"/>
    <n v="4"/>
  </r>
  <r>
    <x v="298"/>
    <s v="Betty Robinson"/>
    <n v="70"/>
    <x v="1"/>
    <x v="239"/>
    <d v="2025-04-19T00:00:00"/>
    <x v="2"/>
    <x v="16"/>
    <n v="2096.4899999999998"/>
    <n v="60"/>
    <x v="1"/>
    <x v="1"/>
    <n v="3"/>
  </r>
  <r>
    <x v="299"/>
    <s v="Elizabeth Brown"/>
    <n v="44"/>
    <x v="1"/>
    <x v="41"/>
    <d v="2025-09-10T00:00:00"/>
    <x v="4"/>
    <x v="18"/>
    <n v="12341.99"/>
    <n v="70"/>
    <x v="0"/>
    <x v="3"/>
    <n v="5"/>
  </r>
  <r>
    <x v="300"/>
    <s v="Anthony Garcia"/>
    <n v="31"/>
    <x v="0"/>
    <x v="240"/>
    <d v="2025-08-16T00:00:00"/>
    <x v="1"/>
    <x v="36"/>
    <n v="3445.79"/>
    <n v="90"/>
    <x v="0"/>
    <x v="2"/>
    <n v="3"/>
  </r>
  <r>
    <x v="301"/>
    <s v="Barbara Davis"/>
    <n v="68"/>
    <x v="1"/>
    <x v="241"/>
    <d v="2024-04-16T00:00:00"/>
    <x v="0"/>
    <x v="20"/>
    <n v="4176.93"/>
    <n v="0"/>
    <x v="0"/>
    <x v="1"/>
    <n v="3"/>
  </r>
  <r>
    <x v="302"/>
    <s v="William Rodriguez"/>
    <n v="50"/>
    <x v="0"/>
    <x v="242"/>
    <d v="2026-01-02T00:00:00"/>
    <x v="0"/>
    <x v="19"/>
    <n v="10022.5"/>
    <n v="70"/>
    <x v="1"/>
    <x v="3"/>
    <n v="5"/>
  </r>
  <r>
    <x v="303"/>
    <s v="Robert Lee"/>
    <n v="57"/>
    <x v="0"/>
    <x v="243"/>
    <d v="2024-02-27T00:00:00"/>
    <x v="5"/>
    <x v="28"/>
    <n v="13346.03"/>
    <n v="60"/>
    <x v="0"/>
    <x v="0"/>
    <n v="7"/>
  </r>
  <r>
    <x v="304"/>
    <s v="Karen Williams"/>
    <n v="67"/>
    <x v="1"/>
    <x v="103"/>
    <d v="2025-09-18T00:00:00"/>
    <x v="4"/>
    <x v="18"/>
    <n v="12949.84"/>
    <n v="80"/>
    <x v="0"/>
    <x v="1"/>
    <n v="6"/>
  </r>
  <r>
    <x v="305"/>
    <s v="Barbara Clark"/>
    <n v="76"/>
    <x v="1"/>
    <x v="244"/>
    <d v="2025-03-31T00:00:00"/>
    <x v="5"/>
    <x v="12"/>
    <n v="5780.36"/>
    <n v="90"/>
    <x v="2"/>
    <x v="1"/>
    <n v="3"/>
  </r>
  <r>
    <x v="306"/>
    <s v="Matthew Anderson"/>
    <n v="25"/>
    <x v="0"/>
    <x v="245"/>
    <d v="2025-10-07T00:00:00"/>
    <x v="4"/>
    <x v="18"/>
    <n v="12079.5"/>
    <n v="60"/>
    <x v="1"/>
    <x v="2"/>
    <n v="9"/>
  </r>
  <r>
    <x v="307"/>
    <s v="Joseph Moore"/>
    <n v="40"/>
    <x v="0"/>
    <x v="246"/>
    <d v="2024-11-26T00:00:00"/>
    <x v="2"/>
    <x v="10"/>
    <n v="7389.52"/>
    <n v="80"/>
    <x v="1"/>
    <x v="3"/>
    <n v="7"/>
  </r>
  <r>
    <x v="308"/>
    <s v="David Thomas"/>
    <n v="78"/>
    <x v="0"/>
    <x v="247"/>
    <d v="2025-08-22T00:00:00"/>
    <x v="0"/>
    <x v="0"/>
    <n v="5108.6400000000003"/>
    <n v="60"/>
    <x v="1"/>
    <x v="1"/>
    <n v="3"/>
  </r>
  <r>
    <x v="309"/>
    <s v="Daniel Johnson"/>
    <n v="30"/>
    <x v="0"/>
    <x v="64"/>
    <d v="2024-05-26T00:00:00"/>
    <x v="1"/>
    <x v="7"/>
    <n v="3176.54"/>
    <n v="80"/>
    <x v="0"/>
    <x v="2"/>
    <n v="2"/>
  </r>
  <r>
    <x v="310"/>
    <s v="Anthony Johnson"/>
    <n v="54"/>
    <x v="0"/>
    <x v="248"/>
    <d v="2024-09-17T00:00:00"/>
    <x v="4"/>
    <x v="26"/>
    <n v="17049.400000000001"/>
    <n v="100"/>
    <x v="2"/>
    <x v="0"/>
    <n v="8"/>
  </r>
  <r>
    <x v="311"/>
    <s v="Carol Brown"/>
    <n v="67"/>
    <x v="1"/>
    <x v="69"/>
    <d v="2025-11-09T00:00:00"/>
    <x v="1"/>
    <x v="36"/>
    <n v="1997.86"/>
    <n v="70"/>
    <x v="0"/>
    <x v="1"/>
    <n v="1"/>
  </r>
  <r>
    <x v="312"/>
    <s v="Mark Brown"/>
    <n v="43"/>
    <x v="0"/>
    <x v="249"/>
    <d v="2024-08-19T00:00:00"/>
    <x v="2"/>
    <x v="8"/>
    <n v="4991.59"/>
    <n v="0"/>
    <x v="2"/>
    <x v="3"/>
    <n v="4"/>
  </r>
  <r>
    <x v="313"/>
    <s v="Elizabeth Taylor"/>
    <n v="70"/>
    <x v="1"/>
    <x v="13"/>
    <d v="2024-08-29T00:00:00"/>
    <x v="5"/>
    <x v="28"/>
    <n v="17095.62"/>
    <n v="90"/>
    <x v="0"/>
    <x v="1"/>
    <n v="9"/>
  </r>
  <r>
    <x v="314"/>
    <s v="Brian Lewis"/>
    <n v="64"/>
    <x v="0"/>
    <x v="250"/>
    <d v="2025-08-20T00:00:00"/>
    <x v="1"/>
    <x v="31"/>
    <n v="4730.04"/>
    <n v="80"/>
    <x v="0"/>
    <x v="0"/>
    <n v="2"/>
  </r>
  <r>
    <x v="315"/>
    <s v="Joseph Perez"/>
    <n v="56"/>
    <x v="0"/>
    <x v="238"/>
    <d v="2024-10-01T00:00:00"/>
    <x v="2"/>
    <x v="4"/>
    <n v="10303.59"/>
    <n v="70"/>
    <x v="1"/>
    <x v="0"/>
    <n v="7"/>
  </r>
  <r>
    <x v="316"/>
    <s v="Anthony Walker"/>
    <n v="56"/>
    <x v="0"/>
    <x v="251"/>
    <d v="2024-06-10T00:00:00"/>
    <x v="2"/>
    <x v="21"/>
    <n v="7120.81"/>
    <n v="80"/>
    <x v="2"/>
    <x v="0"/>
    <n v="6"/>
  </r>
  <r>
    <x v="317"/>
    <s v="Brian Lewis"/>
    <n v="38"/>
    <x v="0"/>
    <x v="252"/>
    <d v="2025-07-13T00:00:00"/>
    <x v="1"/>
    <x v="7"/>
    <n v="1418.29"/>
    <n v="80"/>
    <x v="0"/>
    <x v="3"/>
    <n v="1"/>
  </r>
  <r>
    <x v="318"/>
    <s v="Brian Ramirez"/>
    <n v="77"/>
    <x v="0"/>
    <x v="59"/>
    <d v="2024-04-26T00:00:00"/>
    <x v="1"/>
    <x v="32"/>
    <n v="4818.3999999999996"/>
    <n v="60"/>
    <x v="0"/>
    <x v="1"/>
    <n v="3"/>
  </r>
  <r>
    <x v="319"/>
    <s v="James Wilson"/>
    <n v="51"/>
    <x v="0"/>
    <x v="233"/>
    <d v="2024-02-22T00:00:00"/>
    <x v="1"/>
    <x v="2"/>
    <n v="1333.29"/>
    <n v="70"/>
    <x v="0"/>
    <x v="0"/>
    <n v="1"/>
  </r>
  <r>
    <x v="320"/>
    <s v="Ashley Jackson"/>
    <n v="34"/>
    <x v="1"/>
    <x v="253"/>
    <d v="2025-03-28T00:00:00"/>
    <x v="1"/>
    <x v="32"/>
    <n v="1437.43"/>
    <n v="100"/>
    <x v="0"/>
    <x v="2"/>
    <n v="1"/>
  </r>
  <r>
    <x v="321"/>
    <s v="James Thomas"/>
    <n v="64"/>
    <x v="0"/>
    <x v="254"/>
    <d v="2025-06-14T00:00:00"/>
    <x v="2"/>
    <x v="16"/>
    <n v="2608.29"/>
    <n v="0"/>
    <x v="0"/>
    <x v="0"/>
    <n v="3"/>
  </r>
  <r>
    <x v="322"/>
    <s v="Susan Lee"/>
    <n v="8"/>
    <x v="1"/>
    <x v="255"/>
    <d v="2024-05-18T00:00:00"/>
    <x v="3"/>
    <x v="25"/>
    <n v="6107.32"/>
    <n v="80"/>
    <x v="0"/>
    <x v="4"/>
    <n v="4"/>
  </r>
  <r>
    <x v="323"/>
    <s v="Betty Jones"/>
    <n v="5"/>
    <x v="1"/>
    <x v="256"/>
    <d v="2024-03-09T00:00:00"/>
    <x v="3"/>
    <x v="23"/>
    <n v="763.74"/>
    <n v="90"/>
    <x v="1"/>
    <x v="4"/>
    <n v="1"/>
  </r>
  <r>
    <x v="324"/>
    <s v="Lisa Martinez"/>
    <n v="3"/>
    <x v="1"/>
    <x v="257"/>
    <d v="2025-06-30T00:00:00"/>
    <x v="3"/>
    <x v="24"/>
    <n v="8208.35"/>
    <n v="0"/>
    <x v="2"/>
    <x v="4"/>
    <n v="5"/>
  </r>
  <r>
    <x v="325"/>
    <s v="Ashley Martin"/>
    <n v="26"/>
    <x v="1"/>
    <x v="258"/>
    <d v="2024-07-25T00:00:00"/>
    <x v="4"/>
    <x v="26"/>
    <n v="20575.84"/>
    <n v="80"/>
    <x v="1"/>
    <x v="2"/>
    <n v="14"/>
  </r>
  <r>
    <x v="326"/>
    <s v="Kevin Lopez"/>
    <n v="1"/>
    <x v="0"/>
    <x v="220"/>
    <d v="2025-07-28T00:00:00"/>
    <x v="3"/>
    <x v="22"/>
    <n v="5295.19"/>
    <n v="90"/>
    <x v="0"/>
    <x v="4"/>
    <n v="3"/>
  </r>
  <r>
    <x v="327"/>
    <s v="Betty Harris"/>
    <n v="35"/>
    <x v="1"/>
    <x v="259"/>
    <d v="2025-11-21T00:00:00"/>
    <x v="4"/>
    <x v="13"/>
    <n v="23024.560000000001"/>
    <n v="70"/>
    <x v="1"/>
    <x v="2"/>
    <n v="9"/>
  </r>
  <r>
    <x v="328"/>
    <s v="Linda Jackson"/>
    <n v="33"/>
    <x v="1"/>
    <x v="55"/>
    <d v="2025-05-08T00:00:00"/>
    <x v="1"/>
    <x v="36"/>
    <n v="7452.68"/>
    <n v="70"/>
    <x v="0"/>
    <x v="2"/>
    <n v="3"/>
  </r>
  <r>
    <x v="329"/>
    <s v="Matthew Clark"/>
    <n v="80"/>
    <x v="0"/>
    <x v="260"/>
    <d v="2024-03-11T00:00:00"/>
    <x v="5"/>
    <x v="34"/>
    <n v="10908.13"/>
    <n v="60"/>
    <x v="0"/>
    <x v="1"/>
    <n v="8"/>
  </r>
  <r>
    <x v="330"/>
    <s v="Christopher Johnson"/>
    <n v="27"/>
    <x v="0"/>
    <x v="59"/>
    <d v="2024-04-29T00:00:00"/>
    <x v="2"/>
    <x v="21"/>
    <n v="7501.37"/>
    <n v="70"/>
    <x v="2"/>
    <x v="2"/>
    <n v="6"/>
  </r>
  <r>
    <x v="331"/>
    <s v="Sarah Davis"/>
    <n v="61"/>
    <x v="1"/>
    <x v="58"/>
    <d v="2025-04-25T00:00:00"/>
    <x v="1"/>
    <x v="36"/>
    <n v="1264.69"/>
    <n v="90"/>
    <x v="0"/>
    <x v="0"/>
    <n v="1"/>
  </r>
  <r>
    <x v="332"/>
    <s v="Susan Martin"/>
    <n v="54"/>
    <x v="1"/>
    <x v="102"/>
    <d v="2024-05-19T00:00:00"/>
    <x v="4"/>
    <x v="13"/>
    <n v="26730.35"/>
    <n v="0"/>
    <x v="1"/>
    <x v="0"/>
    <n v="11"/>
  </r>
  <r>
    <x v="333"/>
    <s v="Michelle Garcia"/>
    <n v="57"/>
    <x v="1"/>
    <x v="261"/>
    <d v="2025-04-02T00:00:00"/>
    <x v="5"/>
    <x v="17"/>
    <n v="6655.97"/>
    <n v="60"/>
    <x v="1"/>
    <x v="0"/>
    <n v="3"/>
  </r>
  <r>
    <x v="334"/>
    <s v="Matthew Garcia"/>
    <n v="63"/>
    <x v="0"/>
    <x v="260"/>
    <d v="2024-03-11T00:00:00"/>
    <x v="0"/>
    <x v="20"/>
    <n v="11856.84"/>
    <n v="70"/>
    <x v="1"/>
    <x v="0"/>
    <n v="8"/>
  </r>
  <r>
    <x v="335"/>
    <s v="David Clark"/>
    <n v="45"/>
    <x v="0"/>
    <x v="262"/>
    <d v="2025-04-21T00:00:00"/>
    <x v="1"/>
    <x v="36"/>
    <n v="1625.38"/>
    <n v="80"/>
    <x v="0"/>
    <x v="3"/>
    <n v="1"/>
  </r>
  <r>
    <x v="336"/>
    <s v="Andrew Moore"/>
    <n v="71"/>
    <x v="0"/>
    <x v="263"/>
    <d v="2025-12-11T00:00:00"/>
    <x v="0"/>
    <x v="6"/>
    <n v="10880.84"/>
    <n v="80"/>
    <x v="0"/>
    <x v="1"/>
    <n v="6"/>
  </r>
  <r>
    <x v="337"/>
    <s v="Christopher Davis"/>
    <n v="69"/>
    <x v="0"/>
    <x v="264"/>
    <d v="2025-10-11T00:00:00"/>
    <x v="2"/>
    <x v="21"/>
    <n v="1151.51"/>
    <n v="90"/>
    <x v="1"/>
    <x v="1"/>
    <n v="1"/>
  </r>
  <r>
    <x v="338"/>
    <s v="Elizabeth Harris"/>
    <n v="43"/>
    <x v="1"/>
    <x v="265"/>
    <d v="2024-05-29T00:00:00"/>
    <x v="0"/>
    <x v="6"/>
    <n v="13660.38"/>
    <n v="50"/>
    <x v="1"/>
    <x v="3"/>
    <n v="7"/>
  </r>
  <r>
    <x v="339"/>
    <s v="William Perez"/>
    <n v="21"/>
    <x v="0"/>
    <x v="266"/>
    <d v="2025-01-19T00:00:00"/>
    <x v="2"/>
    <x v="21"/>
    <n v="5372.91"/>
    <n v="90"/>
    <x v="0"/>
    <x v="2"/>
    <n v="4"/>
  </r>
  <r>
    <x v="340"/>
    <s v="Kenneth Smith"/>
    <n v="16"/>
    <x v="0"/>
    <x v="267"/>
    <d v="2024-03-09T00:00:00"/>
    <x v="3"/>
    <x v="37"/>
    <n v="5108.66"/>
    <n v="80"/>
    <x v="0"/>
    <x v="4"/>
    <n v="3"/>
  </r>
  <r>
    <x v="341"/>
    <s v="Sarah Robinson"/>
    <n v="72"/>
    <x v="1"/>
    <x v="80"/>
    <d v="2025-05-04T00:00:00"/>
    <x v="1"/>
    <x v="32"/>
    <n v="4730.3599999999997"/>
    <n v="90"/>
    <x v="0"/>
    <x v="1"/>
    <n v="3"/>
  </r>
  <r>
    <x v="342"/>
    <s v="Jennifer Lopez"/>
    <n v="57"/>
    <x v="1"/>
    <x v="268"/>
    <d v="2025-01-16T00:00:00"/>
    <x v="2"/>
    <x v="8"/>
    <n v="4389.91"/>
    <n v="80"/>
    <x v="0"/>
    <x v="0"/>
    <n v="3"/>
  </r>
  <r>
    <x v="343"/>
    <s v="Sandra Robinson"/>
    <n v="39"/>
    <x v="1"/>
    <x v="269"/>
    <d v="2025-09-14T00:00:00"/>
    <x v="4"/>
    <x v="13"/>
    <n v="8536.89"/>
    <n v="80"/>
    <x v="0"/>
    <x v="3"/>
    <n v="8"/>
  </r>
  <r>
    <x v="344"/>
    <s v="Kimberly White"/>
    <n v="12"/>
    <x v="1"/>
    <x v="200"/>
    <d v="2024-10-18T00:00:00"/>
    <x v="3"/>
    <x v="25"/>
    <n v="3347.44"/>
    <n v="0"/>
    <x v="2"/>
    <x v="4"/>
    <n v="5"/>
  </r>
  <r>
    <x v="345"/>
    <s v="Susan Jackson"/>
    <n v="57"/>
    <x v="1"/>
    <x v="270"/>
    <d v="2025-10-13T00:00:00"/>
    <x v="0"/>
    <x v="29"/>
    <n v="15565.46"/>
    <n v="70"/>
    <x v="1"/>
    <x v="0"/>
    <n v="6"/>
  </r>
  <r>
    <x v="346"/>
    <s v="Robert Martin"/>
    <n v="52"/>
    <x v="0"/>
    <x v="40"/>
    <d v="2025-11-25T00:00:00"/>
    <x v="2"/>
    <x v="21"/>
    <n v="4507.1400000000003"/>
    <n v="80"/>
    <x v="2"/>
    <x v="0"/>
    <n v="7"/>
  </r>
  <r>
    <x v="347"/>
    <s v="Brian Robinson"/>
    <n v="62"/>
    <x v="0"/>
    <x v="271"/>
    <d v="2025-07-17T00:00:00"/>
    <x v="0"/>
    <x v="0"/>
    <n v="10788.07"/>
    <n v="70"/>
    <x v="1"/>
    <x v="0"/>
    <n v="7"/>
  </r>
  <r>
    <x v="348"/>
    <s v="Andrew Lewis"/>
    <n v="46"/>
    <x v="0"/>
    <x v="272"/>
    <d v="2024-05-28T00:00:00"/>
    <x v="0"/>
    <x v="1"/>
    <n v="26034.080000000002"/>
    <n v="80"/>
    <x v="0"/>
    <x v="3"/>
    <n v="9"/>
  </r>
  <r>
    <x v="349"/>
    <s v="Kenneth Taylor"/>
    <n v="44"/>
    <x v="0"/>
    <x v="273"/>
    <d v="2024-08-29T00:00:00"/>
    <x v="0"/>
    <x v="20"/>
    <n v="10409.19"/>
    <n v="90"/>
    <x v="2"/>
    <x v="3"/>
    <n v="8"/>
  </r>
  <r>
    <x v="350"/>
    <s v="Jennifer Hernandez"/>
    <n v="62"/>
    <x v="1"/>
    <x v="274"/>
    <d v="2024-08-03T00:00:00"/>
    <x v="1"/>
    <x v="36"/>
    <n v="1428.8"/>
    <n v="80"/>
    <x v="1"/>
    <x v="0"/>
    <n v="1"/>
  </r>
  <r>
    <x v="351"/>
    <s v="Sarah Anderson"/>
    <n v="73"/>
    <x v="1"/>
    <x v="136"/>
    <d v="2025-05-25T00:00:00"/>
    <x v="1"/>
    <x v="31"/>
    <n v="6491.42"/>
    <n v="0"/>
    <x v="2"/>
    <x v="1"/>
    <n v="3"/>
  </r>
  <r>
    <x v="352"/>
    <s v="Mary Martinez"/>
    <n v="80"/>
    <x v="1"/>
    <x v="275"/>
    <d v="2025-03-23T00:00:00"/>
    <x v="1"/>
    <x v="32"/>
    <n v="2816.11"/>
    <n v="80"/>
    <x v="2"/>
    <x v="1"/>
    <n v="3"/>
  </r>
  <r>
    <x v="353"/>
    <s v="Matthew Clark"/>
    <n v="12"/>
    <x v="0"/>
    <x v="77"/>
    <d v="2025-12-03T00:00:00"/>
    <x v="3"/>
    <x v="23"/>
    <n v="6337.74"/>
    <n v="60"/>
    <x v="1"/>
    <x v="4"/>
    <n v="5"/>
  </r>
  <r>
    <x v="354"/>
    <s v="Lisa Thomas"/>
    <n v="48"/>
    <x v="1"/>
    <x v="276"/>
    <d v="2024-04-23T00:00:00"/>
    <x v="2"/>
    <x v="16"/>
    <n v="8162.88"/>
    <n v="60"/>
    <x v="0"/>
    <x v="3"/>
    <n v="7"/>
  </r>
  <r>
    <x v="355"/>
    <s v="Thomas Williams"/>
    <n v="69"/>
    <x v="0"/>
    <x v="24"/>
    <d v="2025-02-20T00:00:00"/>
    <x v="2"/>
    <x v="5"/>
    <n v="2495.13"/>
    <n v="70"/>
    <x v="0"/>
    <x v="1"/>
    <n v="2"/>
  </r>
  <r>
    <x v="356"/>
    <s v="Ashley Martinez"/>
    <n v="16"/>
    <x v="1"/>
    <x v="277"/>
    <d v="2024-06-12T00:00:00"/>
    <x v="3"/>
    <x v="23"/>
    <n v="1054.1400000000001"/>
    <n v="50"/>
    <x v="1"/>
    <x v="4"/>
    <n v="1"/>
  </r>
  <r>
    <x v="357"/>
    <s v="Mary Ramirez"/>
    <n v="73"/>
    <x v="1"/>
    <x v="261"/>
    <d v="2025-03-31T00:00:00"/>
    <x v="1"/>
    <x v="15"/>
    <n v="1251.25"/>
    <n v="80"/>
    <x v="0"/>
    <x v="1"/>
    <n v="1"/>
  </r>
  <r>
    <x v="358"/>
    <s v="Kenneth Miller"/>
    <n v="53"/>
    <x v="0"/>
    <x v="275"/>
    <d v="2025-03-26T00:00:00"/>
    <x v="0"/>
    <x v="20"/>
    <n v="16598.080000000002"/>
    <n v="80"/>
    <x v="0"/>
    <x v="0"/>
    <n v="6"/>
  </r>
  <r>
    <x v="359"/>
    <s v="Emily Hernandez"/>
    <n v="46"/>
    <x v="1"/>
    <x v="278"/>
    <d v="2024-10-08T00:00:00"/>
    <x v="2"/>
    <x v="33"/>
    <n v="4875.57"/>
    <n v="90"/>
    <x v="0"/>
    <x v="3"/>
    <n v="4"/>
  </r>
  <r>
    <x v="360"/>
    <s v="Paul Perez"/>
    <n v="53"/>
    <x v="0"/>
    <x v="279"/>
    <d v="2025-12-07T00:00:00"/>
    <x v="5"/>
    <x v="34"/>
    <n v="12181.3"/>
    <n v="50"/>
    <x v="0"/>
    <x v="0"/>
    <n v="5"/>
  </r>
  <r>
    <x v="361"/>
    <s v="James Harris"/>
    <n v="59"/>
    <x v="0"/>
    <x v="280"/>
    <d v="2025-07-25T00:00:00"/>
    <x v="1"/>
    <x v="31"/>
    <n v="2262.27"/>
    <n v="100"/>
    <x v="0"/>
    <x v="0"/>
    <n v="1"/>
  </r>
  <r>
    <x v="362"/>
    <s v="Kevin Thompson"/>
    <n v="77"/>
    <x v="0"/>
    <x v="281"/>
    <d v="2025-05-16T00:00:00"/>
    <x v="5"/>
    <x v="28"/>
    <n v="15249.23"/>
    <n v="60"/>
    <x v="0"/>
    <x v="1"/>
    <n v="6"/>
  </r>
  <r>
    <x v="363"/>
    <s v="Elizabeth Hernandez"/>
    <n v="21"/>
    <x v="1"/>
    <x v="282"/>
    <d v="2024-02-06T00:00:00"/>
    <x v="2"/>
    <x v="16"/>
    <n v="3947.95"/>
    <n v="80"/>
    <x v="0"/>
    <x v="2"/>
    <n v="3"/>
  </r>
  <r>
    <x v="364"/>
    <s v="Anthony White"/>
    <n v="59"/>
    <x v="0"/>
    <x v="283"/>
    <d v="2024-11-09T00:00:00"/>
    <x v="4"/>
    <x v="11"/>
    <n v="35549.129999999997"/>
    <n v="100"/>
    <x v="1"/>
    <x v="0"/>
    <n v="13"/>
  </r>
  <r>
    <x v="365"/>
    <s v="Richard Lewis"/>
    <n v="2"/>
    <x v="0"/>
    <x v="284"/>
    <d v="2025-02-08T00:00:00"/>
    <x v="3"/>
    <x v="23"/>
    <n v="7038.14"/>
    <n v="70"/>
    <x v="2"/>
    <x v="4"/>
    <n v="4"/>
  </r>
  <r>
    <x v="366"/>
    <s v="Andrew Williams"/>
    <n v="77"/>
    <x v="0"/>
    <x v="285"/>
    <d v="2025-11-19T00:00:00"/>
    <x v="0"/>
    <x v="29"/>
    <n v="14877.84"/>
    <n v="100"/>
    <x v="1"/>
    <x v="1"/>
    <n v="9"/>
  </r>
  <r>
    <x v="367"/>
    <s v="James Wilson"/>
    <n v="30"/>
    <x v="0"/>
    <x v="286"/>
    <d v="2025-07-18T00:00:00"/>
    <x v="4"/>
    <x v="11"/>
    <n v="14678.51"/>
    <n v="60"/>
    <x v="1"/>
    <x v="2"/>
    <n v="11"/>
  </r>
  <r>
    <x v="368"/>
    <s v="Brian Garcia"/>
    <n v="42"/>
    <x v="0"/>
    <x v="287"/>
    <d v="2025-12-13T00:00:00"/>
    <x v="1"/>
    <x v="31"/>
    <n v="3466.32"/>
    <n v="70"/>
    <x v="0"/>
    <x v="3"/>
    <n v="2"/>
  </r>
  <r>
    <x v="369"/>
    <s v="Joshua Miller"/>
    <n v="59"/>
    <x v="0"/>
    <x v="81"/>
    <d v="2024-09-09T00:00:00"/>
    <x v="4"/>
    <x v="18"/>
    <n v="21123.25"/>
    <n v="80"/>
    <x v="0"/>
    <x v="0"/>
    <n v="14"/>
  </r>
  <r>
    <x v="370"/>
    <s v="Robert Smith"/>
    <n v="7"/>
    <x v="0"/>
    <x v="1"/>
    <d v="2025-03-18T00:00:00"/>
    <x v="3"/>
    <x v="22"/>
    <n v="5585.79"/>
    <n v="0"/>
    <x v="2"/>
    <x v="4"/>
    <n v="5"/>
  </r>
  <r>
    <x v="371"/>
    <s v="Barbara Smith"/>
    <n v="37"/>
    <x v="1"/>
    <x v="166"/>
    <d v="2024-09-18T00:00:00"/>
    <x v="2"/>
    <x v="16"/>
    <n v="6953.83"/>
    <n v="90"/>
    <x v="1"/>
    <x v="3"/>
    <n v="5"/>
  </r>
  <r>
    <x v="372"/>
    <s v="Sandra Jones"/>
    <n v="33"/>
    <x v="1"/>
    <x v="76"/>
    <d v="2025-01-03T00:00:00"/>
    <x v="1"/>
    <x v="7"/>
    <n v="2224.13"/>
    <n v="70"/>
    <x v="0"/>
    <x v="2"/>
    <n v="1"/>
  </r>
  <r>
    <x v="373"/>
    <s v="Matthew Anderson"/>
    <n v="76"/>
    <x v="0"/>
    <x v="288"/>
    <d v="2025-04-27T00:00:00"/>
    <x v="0"/>
    <x v="6"/>
    <n v="11111.41"/>
    <n v="70"/>
    <x v="0"/>
    <x v="1"/>
    <n v="6"/>
  </r>
  <r>
    <x v="374"/>
    <s v="Andrew Williams"/>
    <n v="31"/>
    <x v="0"/>
    <x v="228"/>
    <d v="2024-09-19T00:00:00"/>
    <x v="2"/>
    <x v="8"/>
    <n v="8312.57"/>
    <n v="70"/>
    <x v="0"/>
    <x v="2"/>
    <n v="7"/>
  </r>
  <r>
    <x v="375"/>
    <s v="Richard Young"/>
    <n v="36"/>
    <x v="0"/>
    <x v="289"/>
    <d v="2024-11-04T00:00:00"/>
    <x v="2"/>
    <x v="33"/>
    <n v="4633.5"/>
    <n v="90"/>
    <x v="0"/>
    <x v="3"/>
    <n v="5"/>
  </r>
  <r>
    <x v="376"/>
    <s v="Betty Young"/>
    <n v="29"/>
    <x v="1"/>
    <x v="290"/>
    <d v="2024-10-28T00:00:00"/>
    <x v="4"/>
    <x v="14"/>
    <n v="6028.31"/>
    <n v="80"/>
    <x v="2"/>
    <x v="2"/>
    <n v="3"/>
  </r>
  <r>
    <x v="377"/>
    <s v="James Jackson"/>
    <n v="64"/>
    <x v="0"/>
    <x v="291"/>
    <d v="2024-04-08T00:00:00"/>
    <x v="5"/>
    <x v="17"/>
    <n v="6224.81"/>
    <n v="70"/>
    <x v="2"/>
    <x v="0"/>
    <n v="5"/>
  </r>
  <r>
    <x v="378"/>
    <s v="Richard Smith"/>
    <n v="44"/>
    <x v="0"/>
    <x v="12"/>
    <d v="2024-08-07T00:00:00"/>
    <x v="4"/>
    <x v="11"/>
    <n v="18959.16"/>
    <n v="60"/>
    <x v="0"/>
    <x v="3"/>
    <n v="11"/>
  </r>
  <r>
    <x v="379"/>
    <s v="Carol Robinson"/>
    <n v="77"/>
    <x v="1"/>
    <x v="292"/>
    <d v="2024-03-29T00:00:00"/>
    <x v="2"/>
    <x v="4"/>
    <n v="2123.39"/>
    <n v="80"/>
    <x v="0"/>
    <x v="1"/>
    <n v="2"/>
  </r>
  <r>
    <x v="380"/>
    <s v="Dorothy Hernandez"/>
    <n v="51"/>
    <x v="1"/>
    <x v="293"/>
    <d v="2024-09-02T00:00:00"/>
    <x v="4"/>
    <x v="14"/>
    <n v="4043.37"/>
    <n v="100"/>
    <x v="0"/>
    <x v="0"/>
    <n v="2"/>
  </r>
  <r>
    <x v="381"/>
    <s v="Steven Martin"/>
    <n v="4"/>
    <x v="0"/>
    <x v="268"/>
    <d v="2025-01-14T00:00:00"/>
    <x v="3"/>
    <x v="24"/>
    <n v="843.6"/>
    <n v="70"/>
    <x v="2"/>
    <x v="4"/>
    <n v="1"/>
  </r>
  <r>
    <x v="382"/>
    <s v="Linda Hernandez"/>
    <n v="37"/>
    <x v="1"/>
    <x v="180"/>
    <d v="2025-12-25T00:00:00"/>
    <x v="2"/>
    <x v="21"/>
    <n v="2561.88"/>
    <n v="70"/>
    <x v="0"/>
    <x v="3"/>
    <n v="4"/>
  </r>
  <r>
    <x v="383"/>
    <s v="Sarah Lopez"/>
    <n v="21"/>
    <x v="1"/>
    <x v="294"/>
    <d v="2024-01-03T00:00:00"/>
    <x v="1"/>
    <x v="3"/>
    <n v="1511.32"/>
    <n v="80"/>
    <x v="1"/>
    <x v="2"/>
    <n v="1"/>
  </r>
  <r>
    <x v="384"/>
    <s v="Daniel Anderson"/>
    <n v="55"/>
    <x v="0"/>
    <x v="295"/>
    <d v="2025-10-14T00:00:00"/>
    <x v="4"/>
    <x v="11"/>
    <n v="27685.69"/>
    <n v="70"/>
    <x v="0"/>
    <x v="0"/>
    <n v="14"/>
  </r>
  <r>
    <x v="385"/>
    <s v="Matthew Martinez"/>
    <n v="24"/>
    <x v="0"/>
    <x v="217"/>
    <d v="2024-10-30T00:00:00"/>
    <x v="2"/>
    <x v="16"/>
    <n v="3028.33"/>
    <n v="70"/>
    <x v="1"/>
    <x v="2"/>
    <n v="4"/>
  </r>
  <r>
    <x v="386"/>
    <s v="Mark Walker"/>
    <n v="70"/>
    <x v="0"/>
    <x v="51"/>
    <d v="2025-04-18T00:00:00"/>
    <x v="4"/>
    <x v="13"/>
    <n v="37544.019999999997"/>
    <n v="80"/>
    <x v="0"/>
    <x v="1"/>
    <n v="14"/>
  </r>
  <r>
    <x v="387"/>
    <s v="Christopher Clark"/>
    <n v="32"/>
    <x v="0"/>
    <x v="296"/>
    <d v="2024-06-08T00:00:00"/>
    <x v="5"/>
    <x v="28"/>
    <n v="17899.3"/>
    <n v="70"/>
    <x v="2"/>
    <x v="2"/>
    <n v="7"/>
  </r>
  <r>
    <x v="388"/>
    <s v="Joseph Lee"/>
    <n v="11"/>
    <x v="0"/>
    <x v="216"/>
    <d v="2025-12-22T00:00:00"/>
    <x v="3"/>
    <x v="9"/>
    <n v="5297.21"/>
    <n v="80"/>
    <x v="0"/>
    <x v="4"/>
    <n v="3"/>
  </r>
  <r>
    <x v="389"/>
    <s v="Steven Wilson"/>
    <n v="46"/>
    <x v="0"/>
    <x v="297"/>
    <d v="2024-01-22T00:00:00"/>
    <x v="0"/>
    <x v="19"/>
    <n v="10640.24"/>
    <n v="0"/>
    <x v="2"/>
    <x v="3"/>
    <n v="8"/>
  </r>
  <r>
    <x v="390"/>
    <s v="Mary Martin"/>
    <n v="40"/>
    <x v="1"/>
    <x v="37"/>
    <d v="2024-12-13T00:00:00"/>
    <x v="5"/>
    <x v="12"/>
    <n v="3660.71"/>
    <n v="70"/>
    <x v="2"/>
    <x v="3"/>
    <n v="3"/>
  </r>
  <r>
    <x v="391"/>
    <s v="Jennifer Harris"/>
    <n v="42"/>
    <x v="1"/>
    <x v="298"/>
    <d v="2025-10-17T00:00:00"/>
    <x v="5"/>
    <x v="17"/>
    <n v="10028.68"/>
    <n v="80"/>
    <x v="1"/>
    <x v="3"/>
    <n v="6"/>
  </r>
  <r>
    <x v="392"/>
    <s v="Karen Thompson"/>
    <n v="9"/>
    <x v="1"/>
    <x v="101"/>
    <d v="2024-01-10T00:00:00"/>
    <x v="3"/>
    <x v="25"/>
    <n v="7238.61"/>
    <n v="50"/>
    <x v="1"/>
    <x v="4"/>
    <n v="5"/>
  </r>
  <r>
    <x v="393"/>
    <s v="Sarah Harris"/>
    <n v="29"/>
    <x v="1"/>
    <x v="299"/>
    <d v="2024-01-02T00:00:00"/>
    <x v="2"/>
    <x v="8"/>
    <n v="969.55"/>
    <n v="90"/>
    <x v="0"/>
    <x v="2"/>
    <n v="1"/>
  </r>
  <r>
    <x v="394"/>
    <s v="Steven Young"/>
    <n v="63"/>
    <x v="0"/>
    <x v="12"/>
    <d v="2024-08-06T00:00:00"/>
    <x v="0"/>
    <x v="1"/>
    <n v="29016.400000000001"/>
    <n v="70"/>
    <x v="0"/>
    <x v="0"/>
    <n v="10"/>
  </r>
  <r>
    <x v="395"/>
    <s v="Dorothy Clark"/>
    <n v="15"/>
    <x v="1"/>
    <x v="300"/>
    <d v="2025-07-23T00:00:00"/>
    <x v="3"/>
    <x v="22"/>
    <n v="6415.8"/>
    <n v="80"/>
    <x v="0"/>
    <x v="4"/>
    <n v="4"/>
  </r>
  <r>
    <x v="396"/>
    <s v="Anthony Lewis"/>
    <n v="54"/>
    <x v="0"/>
    <x v="87"/>
    <d v="2024-12-25T00:00:00"/>
    <x v="0"/>
    <x v="19"/>
    <n v="12816.46"/>
    <n v="50"/>
    <x v="0"/>
    <x v="0"/>
    <n v="5"/>
  </r>
  <r>
    <x v="397"/>
    <s v="Jennifer Miller"/>
    <n v="77"/>
    <x v="1"/>
    <x v="301"/>
    <d v="2024-10-20T00:00:00"/>
    <x v="0"/>
    <x v="29"/>
    <n v="7577.11"/>
    <n v="80"/>
    <x v="0"/>
    <x v="1"/>
    <n v="3"/>
  </r>
  <r>
    <x v="398"/>
    <s v="Robert White"/>
    <n v="35"/>
    <x v="0"/>
    <x v="302"/>
    <d v="2024-12-16T00:00:00"/>
    <x v="1"/>
    <x v="31"/>
    <n v="1670.53"/>
    <n v="80"/>
    <x v="0"/>
    <x v="2"/>
    <n v="1"/>
  </r>
  <r>
    <x v="399"/>
    <s v="Anthony Clark"/>
    <n v="58"/>
    <x v="0"/>
    <x v="115"/>
    <d v="2024-04-16T00:00:00"/>
    <x v="4"/>
    <x v="13"/>
    <n v="19956.13"/>
    <n v="100"/>
    <x v="0"/>
    <x v="0"/>
    <n v="8"/>
  </r>
  <r>
    <x v="400"/>
    <s v="Steven Thomas"/>
    <n v="73"/>
    <x v="0"/>
    <x v="303"/>
    <d v="2024-05-31T00:00:00"/>
    <x v="1"/>
    <x v="15"/>
    <n v="2111.6799999999998"/>
    <n v="90"/>
    <x v="0"/>
    <x v="1"/>
    <n v="2"/>
  </r>
  <r>
    <x v="401"/>
    <s v="Elizabeth Martin"/>
    <n v="40"/>
    <x v="1"/>
    <x v="304"/>
    <d v="2024-02-20T00:00:00"/>
    <x v="4"/>
    <x v="27"/>
    <n v="9466.9"/>
    <n v="70"/>
    <x v="2"/>
    <x v="3"/>
    <n v="6"/>
  </r>
  <r>
    <x v="402"/>
    <s v="Sandra Lopez"/>
    <n v="42"/>
    <x v="1"/>
    <x v="305"/>
    <d v="2024-01-13T00:00:00"/>
    <x v="5"/>
    <x v="30"/>
    <n v="20681.509999999998"/>
    <n v="90"/>
    <x v="0"/>
    <x v="3"/>
    <n v="10"/>
  </r>
  <r>
    <x v="403"/>
    <s v="William Lewis"/>
    <n v="12"/>
    <x v="0"/>
    <x v="306"/>
    <d v="2025-04-07T00:00:00"/>
    <x v="3"/>
    <x v="25"/>
    <n v="2556.54"/>
    <n v="100"/>
    <x v="0"/>
    <x v="4"/>
    <n v="4"/>
  </r>
  <r>
    <x v="404"/>
    <s v="William Ramirez"/>
    <n v="67"/>
    <x v="0"/>
    <x v="256"/>
    <d v="2024-03-16T00:00:00"/>
    <x v="5"/>
    <x v="12"/>
    <n v="20496.009999999998"/>
    <n v="100"/>
    <x v="1"/>
    <x v="1"/>
    <n v="8"/>
  </r>
  <r>
    <x v="405"/>
    <s v="Christopher Ramirez"/>
    <n v="1"/>
    <x v="0"/>
    <x v="59"/>
    <d v="2024-04-24T00:00:00"/>
    <x v="3"/>
    <x v="9"/>
    <n v="1269.22"/>
    <n v="90"/>
    <x v="0"/>
    <x v="4"/>
    <n v="1"/>
  </r>
  <r>
    <x v="406"/>
    <s v="Susan Jones"/>
    <n v="74"/>
    <x v="1"/>
    <x v="307"/>
    <d v="2024-09-01T00:00:00"/>
    <x v="4"/>
    <x v="11"/>
    <n v="14175.59"/>
    <n v="70"/>
    <x v="2"/>
    <x v="1"/>
    <n v="9"/>
  </r>
  <r>
    <x v="407"/>
    <s v="Michelle Rodriguez"/>
    <n v="36"/>
    <x v="1"/>
    <x v="286"/>
    <d v="2025-07-09T00:00:00"/>
    <x v="1"/>
    <x v="36"/>
    <n v="2258.0700000000002"/>
    <n v="80"/>
    <x v="0"/>
    <x v="3"/>
    <n v="2"/>
  </r>
  <r>
    <x v="408"/>
    <s v="Michael Lopez"/>
    <n v="53"/>
    <x v="0"/>
    <x v="308"/>
    <d v="2025-11-20T00:00:00"/>
    <x v="2"/>
    <x v="21"/>
    <n v="1471.29"/>
    <n v="80"/>
    <x v="0"/>
    <x v="0"/>
    <n v="1"/>
  </r>
  <r>
    <x v="409"/>
    <s v="Emily Thompson"/>
    <n v="7"/>
    <x v="1"/>
    <x v="309"/>
    <d v="2025-04-12T00:00:00"/>
    <x v="3"/>
    <x v="9"/>
    <n v="4671.33"/>
    <n v="70"/>
    <x v="0"/>
    <x v="4"/>
    <n v="4"/>
  </r>
  <r>
    <x v="410"/>
    <s v="Richard Anderson"/>
    <n v="56"/>
    <x v="0"/>
    <x v="310"/>
    <d v="2025-12-27T00:00:00"/>
    <x v="1"/>
    <x v="3"/>
    <n v="3856.57"/>
    <n v="70"/>
    <x v="0"/>
    <x v="0"/>
    <n v="3"/>
  </r>
  <r>
    <x v="411"/>
    <s v="Sarah Lopez"/>
    <n v="42"/>
    <x v="1"/>
    <x v="311"/>
    <d v="2025-11-18T00:00:00"/>
    <x v="0"/>
    <x v="20"/>
    <n v="22775.06"/>
    <n v="80"/>
    <x v="0"/>
    <x v="3"/>
    <n v="9"/>
  </r>
  <r>
    <x v="412"/>
    <s v="Ashley Lee"/>
    <n v="53"/>
    <x v="1"/>
    <x v="188"/>
    <d v="2024-03-26T00:00:00"/>
    <x v="1"/>
    <x v="7"/>
    <n v="2542.9899999999998"/>
    <n v="60"/>
    <x v="1"/>
    <x v="0"/>
    <n v="2"/>
  </r>
  <r>
    <x v="413"/>
    <s v="Karen Lewis"/>
    <n v="4"/>
    <x v="1"/>
    <x v="312"/>
    <d v="2025-07-06T00:00:00"/>
    <x v="3"/>
    <x v="22"/>
    <n v="7044.38"/>
    <n v="90"/>
    <x v="0"/>
    <x v="4"/>
    <n v="4"/>
  </r>
  <r>
    <x v="414"/>
    <s v="Betty Ramirez"/>
    <n v="11"/>
    <x v="1"/>
    <x v="65"/>
    <d v="2025-04-07T00:00:00"/>
    <x v="3"/>
    <x v="25"/>
    <n v="3402.4"/>
    <n v="90"/>
    <x v="0"/>
    <x v="4"/>
    <n v="2"/>
  </r>
  <r>
    <x v="415"/>
    <s v="Elizabeth Garcia"/>
    <n v="62"/>
    <x v="1"/>
    <x v="143"/>
    <d v="2024-09-10T00:00:00"/>
    <x v="4"/>
    <x v="27"/>
    <n v="13881.6"/>
    <n v="70"/>
    <x v="0"/>
    <x v="0"/>
    <n v="5"/>
  </r>
  <r>
    <x v="416"/>
    <s v="Thomas Anderson"/>
    <n v="29"/>
    <x v="0"/>
    <x v="70"/>
    <d v="2025-04-03T00:00:00"/>
    <x v="2"/>
    <x v="33"/>
    <n v="1362.39"/>
    <n v="80"/>
    <x v="0"/>
    <x v="2"/>
    <n v="2"/>
  </r>
  <r>
    <x v="417"/>
    <s v="Kenneth Lewis"/>
    <n v="2"/>
    <x v="0"/>
    <x v="313"/>
    <d v="2024-01-11T00:00:00"/>
    <x v="3"/>
    <x v="25"/>
    <n v="8510.7800000000007"/>
    <n v="70"/>
    <x v="0"/>
    <x v="4"/>
    <n v="5"/>
  </r>
  <r>
    <x v="418"/>
    <s v="Kevin Wilson"/>
    <n v="67"/>
    <x v="0"/>
    <x v="314"/>
    <d v="2024-10-02T00:00:00"/>
    <x v="2"/>
    <x v="33"/>
    <n v="2154.9699999999998"/>
    <n v="90"/>
    <x v="0"/>
    <x v="1"/>
    <n v="3"/>
  </r>
  <r>
    <x v="419"/>
    <s v="Jessica White"/>
    <n v="62"/>
    <x v="1"/>
    <x v="315"/>
    <d v="2024-05-19T00:00:00"/>
    <x v="2"/>
    <x v="33"/>
    <n v="1950"/>
    <n v="80"/>
    <x v="1"/>
    <x v="0"/>
    <n v="3"/>
  </r>
  <r>
    <x v="420"/>
    <s v="Carol Lewis"/>
    <n v="72"/>
    <x v="1"/>
    <x v="13"/>
    <d v="2024-08-25T00:00:00"/>
    <x v="4"/>
    <x v="26"/>
    <n v="5004.03"/>
    <n v="100"/>
    <x v="0"/>
    <x v="1"/>
    <n v="5"/>
  </r>
  <r>
    <x v="421"/>
    <s v="Joseph Robinson"/>
    <n v="63"/>
    <x v="0"/>
    <x v="316"/>
    <d v="2024-04-01T00:00:00"/>
    <x v="5"/>
    <x v="28"/>
    <n v="7752.04"/>
    <n v="90"/>
    <x v="0"/>
    <x v="0"/>
    <n v="7"/>
  </r>
  <r>
    <x v="422"/>
    <s v="David Anderson"/>
    <n v="69"/>
    <x v="0"/>
    <x v="6"/>
    <d v="2024-02-14T00:00:00"/>
    <x v="4"/>
    <x v="18"/>
    <n v="6986.97"/>
    <n v="100"/>
    <x v="1"/>
    <x v="1"/>
    <n v="5"/>
  </r>
  <r>
    <x v="423"/>
    <s v="William Anderson"/>
    <n v="52"/>
    <x v="0"/>
    <x v="46"/>
    <d v="2025-11-06T00:00:00"/>
    <x v="1"/>
    <x v="36"/>
    <n v="1744.21"/>
    <n v="80"/>
    <x v="1"/>
    <x v="0"/>
    <n v="1"/>
  </r>
  <r>
    <x v="424"/>
    <s v="Ashley Ramirez"/>
    <n v="28"/>
    <x v="1"/>
    <x v="317"/>
    <d v="2024-01-29T00:00:00"/>
    <x v="4"/>
    <x v="27"/>
    <n v="23326.29"/>
    <n v="60"/>
    <x v="0"/>
    <x v="2"/>
    <n v="13"/>
  </r>
  <r>
    <x v="425"/>
    <s v="Donna Ramirez"/>
    <n v="51"/>
    <x v="1"/>
    <x v="318"/>
    <d v="2025-10-02T00:00:00"/>
    <x v="2"/>
    <x v="5"/>
    <n v="5587.17"/>
    <n v="70"/>
    <x v="1"/>
    <x v="0"/>
    <n v="7"/>
  </r>
  <r>
    <x v="426"/>
    <s v="Emily Walker"/>
    <n v="46"/>
    <x v="1"/>
    <x v="319"/>
    <d v="2025-06-01T00:00:00"/>
    <x v="4"/>
    <x v="26"/>
    <n v="19329.240000000002"/>
    <n v="80"/>
    <x v="0"/>
    <x v="3"/>
    <n v="13"/>
  </r>
  <r>
    <x v="427"/>
    <s v="Matthew Jones"/>
    <n v="46"/>
    <x v="0"/>
    <x v="197"/>
    <d v="2025-02-22T00:00:00"/>
    <x v="0"/>
    <x v="0"/>
    <n v="20311.28"/>
    <n v="0"/>
    <x v="1"/>
    <x v="3"/>
    <n v="8"/>
  </r>
  <r>
    <x v="428"/>
    <s v="Sandra Harris"/>
    <n v="73"/>
    <x v="1"/>
    <x v="225"/>
    <d v="2025-10-06T00:00:00"/>
    <x v="1"/>
    <x v="2"/>
    <n v="2647.99"/>
    <n v="80"/>
    <x v="1"/>
    <x v="1"/>
    <n v="3"/>
  </r>
  <r>
    <x v="429"/>
    <s v="Linda Garcia"/>
    <n v="14"/>
    <x v="1"/>
    <x v="320"/>
    <d v="2025-12-16T00:00:00"/>
    <x v="3"/>
    <x v="23"/>
    <n v="3396.48"/>
    <n v="90"/>
    <x v="0"/>
    <x v="4"/>
    <n v="2"/>
  </r>
  <r>
    <x v="430"/>
    <s v="James Clark"/>
    <n v="82"/>
    <x v="0"/>
    <x v="321"/>
    <d v="2024-02-26T00:00:00"/>
    <x v="2"/>
    <x v="16"/>
    <n v="9947.52"/>
    <n v="60"/>
    <x v="1"/>
    <x v="1"/>
    <n v="7"/>
  </r>
  <r>
    <x v="431"/>
    <s v="Lisa Jones"/>
    <n v="11"/>
    <x v="1"/>
    <x v="123"/>
    <d v="2024-06-17T00:00:00"/>
    <x v="3"/>
    <x v="24"/>
    <n v="2103.42"/>
    <n v="60"/>
    <x v="1"/>
    <x v="4"/>
    <n v="2"/>
  </r>
  <r>
    <x v="432"/>
    <s v="Barbara Martinez"/>
    <n v="41"/>
    <x v="1"/>
    <x v="322"/>
    <d v="2024-07-13T00:00:00"/>
    <x v="4"/>
    <x v="18"/>
    <n v="20914.48"/>
    <n v="50"/>
    <x v="1"/>
    <x v="3"/>
    <n v="10"/>
  </r>
  <r>
    <x v="433"/>
    <s v="James Young"/>
    <n v="57"/>
    <x v="0"/>
    <x v="323"/>
    <d v="2024-08-17T00:00:00"/>
    <x v="4"/>
    <x v="18"/>
    <n v="16613.29"/>
    <n v="60"/>
    <x v="2"/>
    <x v="0"/>
    <n v="11"/>
  </r>
  <r>
    <x v="434"/>
    <s v="Sarah Perez"/>
    <n v="62"/>
    <x v="1"/>
    <x v="324"/>
    <d v="2024-12-18T00:00:00"/>
    <x v="4"/>
    <x v="26"/>
    <n v="23037.14"/>
    <n v="70"/>
    <x v="0"/>
    <x v="0"/>
    <n v="13"/>
  </r>
  <r>
    <x v="435"/>
    <s v="Brian Rodriguez"/>
    <n v="23"/>
    <x v="0"/>
    <x v="325"/>
    <d v="2024-12-28T00:00:00"/>
    <x v="2"/>
    <x v="21"/>
    <n v="618.74"/>
    <n v="80"/>
    <x v="0"/>
    <x v="2"/>
    <n v="1"/>
  </r>
  <r>
    <x v="436"/>
    <s v="Paul Clark"/>
    <n v="42"/>
    <x v="0"/>
    <x v="20"/>
    <d v="2025-10-25T00:00:00"/>
    <x v="2"/>
    <x v="5"/>
    <n v="3292.07"/>
    <n v="50"/>
    <x v="0"/>
    <x v="3"/>
    <n v="3"/>
  </r>
  <r>
    <x v="437"/>
    <s v="Robert Lee"/>
    <n v="48"/>
    <x v="0"/>
    <x v="299"/>
    <d v="2024-01-05T00:00:00"/>
    <x v="2"/>
    <x v="8"/>
    <n v="5249.64"/>
    <n v="90"/>
    <x v="0"/>
    <x v="3"/>
    <n v="4"/>
  </r>
  <r>
    <x v="438"/>
    <s v="Michael Clark"/>
    <n v="71"/>
    <x v="0"/>
    <x v="326"/>
    <d v="2025-08-21T00:00:00"/>
    <x v="4"/>
    <x v="14"/>
    <n v="5726.98"/>
    <n v="80"/>
    <x v="0"/>
    <x v="1"/>
    <n v="5"/>
  </r>
  <r>
    <x v="439"/>
    <s v="Andrew Garcia"/>
    <n v="16"/>
    <x v="0"/>
    <x v="327"/>
    <d v="2024-05-14T00:00:00"/>
    <x v="3"/>
    <x v="22"/>
    <n v="3417.93"/>
    <n v="100"/>
    <x v="0"/>
    <x v="4"/>
    <n v="2"/>
  </r>
  <r>
    <x v="440"/>
    <s v="Linda Davis"/>
    <n v="73"/>
    <x v="1"/>
    <x v="139"/>
    <d v="2024-09-14T00:00:00"/>
    <x v="2"/>
    <x v="4"/>
    <n v="4075.7"/>
    <n v="100"/>
    <x v="0"/>
    <x v="1"/>
    <n v="7"/>
  </r>
  <r>
    <x v="441"/>
    <s v="Christopher Taylor"/>
    <n v="17"/>
    <x v="0"/>
    <x v="328"/>
    <d v="2025-02-21T00:00:00"/>
    <x v="3"/>
    <x v="22"/>
    <n v="1245.26"/>
    <n v="100"/>
    <x v="0"/>
    <x v="4"/>
    <n v="2"/>
  </r>
  <r>
    <x v="442"/>
    <s v="Robert Rodriguez"/>
    <n v="49"/>
    <x v="0"/>
    <x v="134"/>
    <d v="2025-09-05T00:00:00"/>
    <x v="2"/>
    <x v="16"/>
    <n v="1338.57"/>
    <n v="100"/>
    <x v="1"/>
    <x v="3"/>
    <n v="1"/>
  </r>
  <r>
    <x v="443"/>
    <s v="Elizabeth Brown"/>
    <n v="41"/>
    <x v="1"/>
    <x v="329"/>
    <d v="2025-04-21T00:00:00"/>
    <x v="5"/>
    <x v="35"/>
    <n v="11778.46"/>
    <n v="60"/>
    <x v="2"/>
    <x v="3"/>
    <n v="7"/>
  </r>
  <r>
    <x v="444"/>
    <s v="Kenneth Thomas"/>
    <n v="65"/>
    <x v="0"/>
    <x v="330"/>
    <d v="2025-01-21T00:00:00"/>
    <x v="0"/>
    <x v="29"/>
    <n v="6875.63"/>
    <n v="70"/>
    <x v="1"/>
    <x v="0"/>
    <n v="3"/>
  </r>
  <r>
    <x v="445"/>
    <s v="Joseph Walker"/>
    <n v="36"/>
    <x v="0"/>
    <x v="257"/>
    <d v="2025-06-30T00:00:00"/>
    <x v="2"/>
    <x v="16"/>
    <n v="4520"/>
    <n v="90"/>
    <x v="0"/>
    <x v="3"/>
    <n v="5"/>
  </r>
  <r>
    <x v="446"/>
    <s v="Joseph Martin"/>
    <n v="47"/>
    <x v="0"/>
    <x v="101"/>
    <d v="2024-01-16T00:00:00"/>
    <x v="4"/>
    <x v="13"/>
    <n v="11719.07"/>
    <n v="80"/>
    <x v="0"/>
    <x v="3"/>
    <n v="11"/>
  </r>
  <r>
    <x v="447"/>
    <s v="Susan Thompson"/>
    <n v="74"/>
    <x v="1"/>
    <x v="331"/>
    <d v="2025-07-19T00:00:00"/>
    <x v="5"/>
    <x v="34"/>
    <n v="13712.17"/>
    <n v="80"/>
    <x v="0"/>
    <x v="1"/>
    <n v="11"/>
  </r>
  <r>
    <x v="448"/>
    <s v="Kevin Lewis"/>
    <n v="73"/>
    <x v="0"/>
    <x v="143"/>
    <d v="2024-09-06T00:00:00"/>
    <x v="1"/>
    <x v="31"/>
    <n v="2492.86"/>
    <n v="100"/>
    <x v="0"/>
    <x v="1"/>
    <n v="1"/>
  </r>
  <r>
    <x v="449"/>
    <s v="Thomas Hernandez"/>
    <n v="19"/>
    <x v="0"/>
    <x v="332"/>
    <d v="2025-06-25T00:00:00"/>
    <x v="1"/>
    <x v="3"/>
    <n v="1867.11"/>
    <n v="80"/>
    <x v="0"/>
    <x v="2"/>
    <n v="1"/>
  </r>
  <r>
    <x v="450"/>
    <s v="Daniel Perez"/>
    <n v="68"/>
    <x v="0"/>
    <x v="333"/>
    <d v="2024-07-16T00:00:00"/>
    <x v="0"/>
    <x v="0"/>
    <n v="9821.73"/>
    <n v="80"/>
    <x v="0"/>
    <x v="1"/>
    <n v="7"/>
  </r>
  <r>
    <x v="451"/>
    <s v="Kimberly Robinson"/>
    <n v="46"/>
    <x v="1"/>
    <x v="133"/>
    <d v="2024-04-07T00:00:00"/>
    <x v="5"/>
    <x v="12"/>
    <n v="9183.36"/>
    <n v="0"/>
    <x v="1"/>
    <x v="3"/>
    <n v="7"/>
  </r>
  <r>
    <x v="452"/>
    <s v="Richard Moore"/>
    <n v="59"/>
    <x v="0"/>
    <x v="334"/>
    <d v="2025-01-25T00:00:00"/>
    <x v="2"/>
    <x v="16"/>
    <n v="1293.94"/>
    <n v="100"/>
    <x v="0"/>
    <x v="0"/>
    <n v="2"/>
  </r>
  <r>
    <x v="453"/>
    <s v="Carol Taylor"/>
    <n v="48"/>
    <x v="1"/>
    <x v="68"/>
    <d v="2024-10-30T00:00:00"/>
    <x v="0"/>
    <x v="29"/>
    <n v="23400.73"/>
    <n v="100"/>
    <x v="0"/>
    <x v="3"/>
    <n v="9"/>
  </r>
  <r>
    <x v="454"/>
    <s v="Donna Lewis"/>
    <n v="68"/>
    <x v="1"/>
    <x v="46"/>
    <d v="2025-11-10T00:00:00"/>
    <x v="2"/>
    <x v="4"/>
    <n v="5575.83"/>
    <n v="70"/>
    <x v="0"/>
    <x v="1"/>
    <n v="5"/>
  </r>
  <r>
    <x v="455"/>
    <s v="Mary Garcia"/>
    <n v="22"/>
    <x v="1"/>
    <x v="276"/>
    <d v="2024-04-17T00:00:00"/>
    <x v="2"/>
    <x v="5"/>
    <n v="711.37"/>
    <n v="90"/>
    <x v="1"/>
    <x v="2"/>
    <n v="1"/>
  </r>
  <r>
    <x v="456"/>
    <s v="Joshua Young"/>
    <n v="55"/>
    <x v="0"/>
    <x v="335"/>
    <d v="2025-12-26T00:00:00"/>
    <x v="1"/>
    <x v="32"/>
    <n v="3304.36"/>
    <n v="60"/>
    <x v="0"/>
    <x v="0"/>
    <n v="3"/>
  </r>
  <r>
    <x v="457"/>
    <s v="William Anderson"/>
    <n v="48"/>
    <x v="0"/>
    <x v="260"/>
    <d v="2024-03-11T00:00:00"/>
    <x v="5"/>
    <x v="34"/>
    <n v="18171.34"/>
    <n v="70"/>
    <x v="2"/>
    <x v="3"/>
    <n v="8"/>
  </r>
  <r>
    <x v="458"/>
    <s v="Emily Clark"/>
    <n v="49"/>
    <x v="1"/>
    <x v="336"/>
    <d v="2024-07-09T00:00:00"/>
    <x v="4"/>
    <x v="27"/>
    <n v="32666.57"/>
    <n v="80"/>
    <x v="2"/>
    <x v="3"/>
    <n v="12"/>
  </r>
  <r>
    <x v="459"/>
    <s v="Thomas Young"/>
    <n v="57"/>
    <x v="0"/>
    <x v="337"/>
    <d v="2024-03-05T00:00:00"/>
    <x v="2"/>
    <x v="5"/>
    <n v="8770.94"/>
    <n v="80"/>
    <x v="0"/>
    <x v="0"/>
    <n v="6"/>
  </r>
  <r>
    <x v="460"/>
    <s v="Matthew Lee"/>
    <n v="37"/>
    <x v="0"/>
    <x v="338"/>
    <d v="2025-03-08T00:00:00"/>
    <x v="5"/>
    <x v="30"/>
    <n v="5722.85"/>
    <n v="70"/>
    <x v="2"/>
    <x v="3"/>
    <n v="3"/>
  </r>
  <r>
    <x v="461"/>
    <s v="Lisa Perez"/>
    <n v="73"/>
    <x v="1"/>
    <x v="339"/>
    <d v="2024-11-04T00:00:00"/>
    <x v="1"/>
    <x v="36"/>
    <n v="1228.01"/>
    <n v="90"/>
    <x v="0"/>
    <x v="1"/>
    <n v="1"/>
  </r>
  <r>
    <x v="462"/>
    <s v="Linda Thompson"/>
    <n v="78"/>
    <x v="1"/>
    <x v="340"/>
    <d v="2024-11-17T00:00:00"/>
    <x v="2"/>
    <x v="8"/>
    <n v="8155.8"/>
    <n v="80"/>
    <x v="0"/>
    <x v="1"/>
    <n v="7"/>
  </r>
  <r>
    <x v="463"/>
    <s v="Emily Taylor"/>
    <n v="75"/>
    <x v="1"/>
    <x v="272"/>
    <d v="2024-05-30T00:00:00"/>
    <x v="4"/>
    <x v="27"/>
    <n v="21834.98"/>
    <n v="80"/>
    <x v="0"/>
    <x v="1"/>
    <n v="11"/>
  </r>
  <r>
    <x v="464"/>
    <s v="Elizabeth Martin"/>
    <n v="51"/>
    <x v="1"/>
    <x v="341"/>
    <d v="2025-12-22T00:00:00"/>
    <x v="4"/>
    <x v="18"/>
    <n v="24478.42"/>
    <n v="70"/>
    <x v="1"/>
    <x v="0"/>
    <n v="9"/>
  </r>
  <r>
    <x v="465"/>
    <s v="Joshua White"/>
    <n v="24"/>
    <x v="0"/>
    <x v="81"/>
    <d v="2024-08-30T00:00:00"/>
    <x v="2"/>
    <x v="8"/>
    <n v="3310.93"/>
    <n v="50"/>
    <x v="0"/>
    <x v="2"/>
    <n v="4"/>
  </r>
  <r>
    <x v="466"/>
    <s v="Sarah Martinez"/>
    <n v="11"/>
    <x v="1"/>
    <x v="342"/>
    <d v="2024-05-22T00:00:00"/>
    <x v="3"/>
    <x v="25"/>
    <n v="3615.86"/>
    <n v="70"/>
    <x v="0"/>
    <x v="4"/>
    <n v="5"/>
  </r>
  <r>
    <x v="467"/>
    <s v="Sandra Clark"/>
    <n v="71"/>
    <x v="1"/>
    <x v="343"/>
    <d v="2025-02-13T00:00:00"/>
    <x v="0"/>
    <x v="29"/>
    <n v="14885.93"/>
    <n v="90"/>
    <x v="0"/>
    <x v="1"/>
    <n v="7"/>
  </r>
  <r>
    <x v="468"/>
    <s v="Ashley Ramirez"/>
    <n v="29"/>
    <x v="1"/>
    <x v="101"/>
    <d v="2024-01-19T00:00:00"/>
    <x v="4"/>
    <x v="26"/>
    <n v="21594.51"/>
    <n v="60"/>
    <x v="0"/>
    <x v="2"/>
    <n v="14"/>
  </r>
  <r>
    <x v="469"/>
    <s v="William Williams"/>
    <n v="35"/>
    <x v="0"/>
    <x v="344"/>
    <d v="2025-09-18T00:00:00"/>
    <x v="4"/>
    <x v="11"/>
    <n v="16660.509999999998"/>
    <n v="70"/>
    <x v="1"/>
    <x v="2"/>
    <n v="11"/>
  </r>
  <r>
    <x v="470"/>
    <s v="Susan Perez"/>
    <n v="9"/>
    <x v="1"/>
    <x v="167"/>
    <d v="2024-03-04T00:00:00"/>
    <x v="3"/>
    <x v="23"/>
    <n v="5025.87"/>
    <n v="80"/>
    <x v="0"/>
    <x v="4"/>
    <n v="3"/>
  </r>
  <r>
    <x v="471"/>
    <s v="Michelle Wilson"/>
    <n v="64"/>
    <x v="1"/>
    <x v="345"/>
    <d v="2024-05-27T00:00:00"/>
    <x v="4"/>
    <x v="14"/>
    <n v="3693.42"/>
    <n v="90"/>
    <x v="0"/>
    <x v="0"/>
    <n v="2"/>
  </r>
  <r>
    <x v="472"/>
    <s v="Andrew Jackson"/>
    <n v="11"/>
    <x v="0"/>
    <x v="254"/>
    <d v="2025-06-15T00:00:00"/>
    <x v="3"/>
    <x v="25"/>
    <n v="6070.15"/>
    <n v="70"/>
    <x v="0"/>
    <x v="4"/>
    <n v="4"/>
  </r>
  <r>
    <x v="473"/>
    <s v="Kevin Perez"/>
    <n v="78"/>
    <x v="0"/>
    <x v="346"/>
    <d v="2025-05-07T00:00:00"/>
    <x v="2"/>
    <x v="5"/>
    <n v="1488.89"/>
    <n v="80"/>
    <x v="0"/>
    <x v="1"/>
    <n v="1"/>
  </r>
  <r>
    <x v="474"/>
    <s v="Michael Smith"/>
    <n v="64"/>
    <x v="0"/>
    <x v="347"/>
    <d v="2024-07-07T00:00:00"/>
    <x v="2"/>
    <x v="5"/>
    <n v="3173.52"/>
    <n v="90"/>
    <x v="2"/>
    <x v="0"/>
    <n v="3"/>
  </r>
  <r>
    <x v="475"/>
    <s v="Michelle Jones"/>
    <n v="38"/>
    <x v="1"/>
    <x v="210"/>
    <d v="2025-05-02T00:00:00"/>
    <x v="4"/>
    <x v="11"/>
    <n v="12100.26"/>
    <n v="90"/>
    <x v="2"/>
    <x v="3"/>
    <n v="9"/>
  </r>
  <r>
    <x v="476"/>
    <s v="Jennifer Smith"/>
    <n v="66"/>
    <x v="1"/>
    <x v="233"/>
    <d v="2024-02-27T00:00:00"/>
    <x v="0"/>
    <x v="6"/>
    <n v="17141"/>
    <n v="90"/>
    <x v="0"/>
    <x v="5"/>
    <n v="6"/>
  </r>
  <r>
    <x v="477"/>
    <s v="Betty Moore"/>
    <n v="36"/>
    <x v="1"/>
    <x v="348"/>
    <d v="2025-01-27T00:00:00"/>
    <x v="1"/>
    <x v="31"/>
    <n v="1576.85"/>
    <n v="80"/>
    <x v="1"/>
    <x v="3"/>
    <n v="1"/>
  </r>
  <r>
    <x v="478"/>
    <s v="William Rodriguez"/>
    <n v="54"/>
    <x v="0"/>
    <x v="349"/>
    <d v="2024-08-01T00:00:00"/>
    <x v="2"/>
    <x v="10"/>
    <n v="534.38"/>
    <n v="80"/>
    <x v="0"/>
    <x v="0"/>
    <n v="1"/>
  </r>
  <r>
    <x v="479"/>
    <s v="Kimberly Clark"/>
    <n v="1"/>
    <x v="1"/>
    <x v="161"/>
    <d v="2024-01-10T00:00:00"/>
    <x v="3"/>
    <x v="24"/>
    <n v="728.22"/>
    <n v="60"/>
    <x v="0"/>
    <x v="4"/>
    <n v="1"/>
  </r>
  <r>
    <x v="480"/>
    <s v="Thomas Martin"/>
    <n v="29"/>
    <x v="0"/>
    <x v="350"/>
    <d v="2025-07-15T00:00:00"/>
    <x v="4"/>
    <x v="27"/>
    <n v="12100.99"/>
    <n v="100"/>
    <x v="1"/>
    <x v="2"/>
    <n v="6"/>
  </r>
  <r>
    <x v="481"/>
    <s v="Dorothy Brown"/>
    <n v="77"/>
    <x v="1"/>
    <x v="351"/>
    <d v="2025-05-20T00:00:00"/>
    <x v="0"/>
    <x v="0"/>
    <n v="8417.51"/>
    <n v="70"/>
    <x v="2"/>
    <x v="1"/>
    <n v="6"/>
  </r>
  <r>
    <x v="482"/>
    <s v="Linda Davis"/>
    <n v="82"/>
    <x v="1"/>
    <x v="249"/>
    <d v="2024-08-18T00:00:00"/>
    <x v="0"/>
    <x v="29"/>
    <n v="4494.01"/>
    <n v="50"/>
    <x v="2"/>
    <x v="1"/>
    <n v="3"/>
  </r>
  <r>
    <x v="483"/>
    <s v="Paul Johnson"/>
    <n v="2"/>
    <x v="0"/>
    <x v="352"/>
    <d v="2024-03-13T00:00:00"/>
    <x v="3"/>
    <x v="24"/>
    <n v="3929.21"/>
    <n v="90"/>
    <x v="1"/>
    <x v="4"/>
    <n v="4"/>
  </r>
  <r>
    <x v="484"/>
    <s v="Lisa Jones"/>
    <n v="48"/>
    <x v="1"/>
    <x v="353"/>
    <d v="2025-12-06T00:00:00"/>
    <x v="4"/>
    <x v="14"/>
    <n v="24600.43"/>
    <n v="70"/>
    <x v="1"/>
    <x v="3"/>
    <n v="14"/>
  </r>
  <r>
    <x v="485"/>
    <s v="Joseph Clark"/>
    <n v="60"/>
    <x v="0"/>
    <x v="354"/>
    <d v="2024-05-29T00:00:00"/>
    <x v="1"/>
    <x v="15"/>
    <n v="4928.0600000000004"/>
    <n v="60"/>
    <x v="2"/>
    <x v="0"/>
    <n v="3"/>
  </r>
  <r>
    <x v="486"/>
    <s v="Linda Wilson"/>
    <n v="69"/>
    <x v="1"/>
    <x v="355"/>
    <d v="2025-01-30T00:00:00"/>
    <x v="1"/>
    <x v="3"/>
    <n v="1292.28"/>
    <n v="100"/>
    <x v="0"/>
    <x v="1"/>
    <n v="1"/>
  </r>
  <r>
    <x v="487"/>
    <s v="Nancy Jones"/>
    <n v="14"/>
    <x v="1"/>
    <x v="356"/>
    <d v="2024-11-05T00:00:00"/>
    <x v="3"/>
    <x v="25"/>
    <n v="3900.85"/>
    <n v="90"/>
    <x v="0"/>
    <x v="4"/>
    <n v="3"/>
  </r>
  <r>
    <x v="488"/>
    <s v="Nancy Perez"/>
    <n v="39"/>
    <x v="1"/>
    <x v="58"/>
    <d v="2025-04-29T00:00:00"/>
    <x v="2"/>
    <x v="33"/>
    <n v="2872.81"/>
    <n v="100"/>
    <x v="1"/>
    <x v="3"/>
    <n v="5"/>
  </r>
  <r>
    <x v="489"/>
    <s v="Barbara Brown"/>
    <n v="43"/>
    <x v="1"/>
    <x v="357"/>
    <d v="2025-11-23T00:00:00"/>
    <x v="4"/>
    <x v="18"/>
    <n v="16993.79"/>
    <n v="70"/>
    <x v="2"/>
    <x v="3"/>
    <n v="9"/>
  </r>
  <r>
    <x v="490"/>
    <s v="Matthew Ramirez"/>
    <n v="11"/>
    <x v="0"/>
    <x v="40"/>
    <d v="2025-11-22T00:00:00"/>
    <x v="3"/>
    <x v="37"/>
    <n v="4693.3500000000004"/>
    <n v="80"/>
    <x v="0"/>
    <x v="4"/>
    <n v="4"/>
  </r>
  <r>
    <x v="491"/>
    <s v="Sarah Brown"/>
    <n v="71"/>
    <x v="1"/>
    <x v="191"/>
    <d v="2025-11-30T00:00:00"/>
    <x v="1"/>
    <x v="32"/>
    <n v="2381.67"/>
    <n v="60"/>
    <x v="2"/>
    <x v="1"/>
    <n v="1"/>
  </r>
  <r>
    <x v="492"/>
    <s v="Robert Williams"/>
    <n v="14"/>
    <x v="0"/>
    <x v="2"/>
    <d v="2024-04-07T00:00:00"/>
    <x v="3"/>
    <x v="22"/>
    <n v="3014.2"/>
    <n v="60"/>
    <x v="1"/>
    <x v="4"/>
    <n v="2"/>
  </r>
  <r>
    <x v="493"/>
    <s v="Mary Thompson"/>
    <n v="45"/>
    <x v="1"/>
    <x v="272"/>
    <d v="2024-05-27T00:00:00"/>
    <x v="5"/>
    <x v="35"/>
    <n v="13434.66"/>
    <n v="60"/>
    <x v="1"/>
    <x v="3"/>
    <n v="8"/>
  </r>
  <r>
    <x v="494"/>
    <s v="Michael White"/>
    <n v="29"/>
    <x v="0"/>
    <x v="358"/>
    <d v="2025-05-26T00:00:00"/>
    <x v="4"/>
    <x v="27"/>
    <n v="13647.71"/>
    <n v="50"/>
    <x v="0"/>
    <x v="2"/>
    <n v="11"/>
  </r>
  <r>
    <x v="495"/>
    <s v="Michael Robinson"/>
    <n v="44"/>
    <x v="0"/>
    <x v="359"/>
    <d v="2025-10-04T00:00:00"/>
    <x v="4"/>
    <x v="26"/>
    <n v="4992.76"/>
    <n v="60"/>
    <x v="0"/>
    <x v="3"/>
    <n v="2"/>
  </r>
  <r>
    <x v="496"/>
    <s v="Robert Jackson"/>
    <n v="42"/>
    <x v="0"/>
    <x v="360"/>
    <d v="2025-01-02T00:00:00"/>
    <x v="1"/>
    <x v="7"/>
    <n v="4370.5"/>
    <n v="70"/>
    <x v="1"/>
    <x v="3"/>
    <n v="2"/>
  </r>
  <r>
    <x v="497"/>
    <s v="Donna Johnson"/>
    <n v="48"/>
    <x v="1"/>
    <x v="361"/>
    <d v="2025-01-08T00:00:00"/>
    <x v="2"/>
    <x v="16"/>
    <n v="3007.7"/>
    <n v="80"/>
    <x v="1"/>
    <x v="3"/>
    <n v="4"/>
  </r>
  <r>
    <x v="498"/>
    <s v="Donna Martinez"/>
    <n v="50"/>
    <x v="1"/>
    <x v="362"/>
    <d v="2025-01-16T00:00:00"/>
    <x v="5"/>
    <x v="17"/>
    <n v="17578.87"/>
    <n v="80"/>
    <x v="0"/>
    <x v="3"/>
    <n v="7"/>
  </r>
  <r>
    <x v="499"/>
    <s v="Anthony White"/>
    <n v="78"/>
    <x v="0"/>
    <x v="363"/>
    <d v="2025-09-12T00:00:00"/>
    <x v="2"/>
    <x v="10"/>
    <n v="1203.76"/>
    <n v="90"/>
    <x v="1"/>
    <x v="1"/>
    <n v="2"/>
  </r>
  <r>
    <x v="500"/>
    <s v="Donna Lee"/>
    <n v="22"/>
    <x v="1"/>
    <x v="171"/>
    <d v="2024-12-16T00:00:00"/>
    <x v="1"/>
    <x v="2"/>
    <n v="2453.12"/>
    <n v="50"/>
    <x v="0"/>
    <x v="2"/>
    <n v="3"/>
  </r>
  <r>
    <x v="501"/>
    <s v="Kevin White"/>
    <n v="64"/>
    <x v="0"/>
    <x v="364"/>
    <d v="2024-05-01T00:00:00"/>
    <x v="0"/>
    <x v="19"/>
    <n v="6452.72"/>
    <n v="70"/>
    <x v="0"/>
    <x v="0"/>
    <n v="3"/>
  </r>
  <r>
    <x v="502"/>
    <s v="Lisa Lee"/>
    <n v="10"/>
    <x v="1"/>
    <x v="349"/>
    <d v="2024-08-03T00:00:00"/>
    <x v="3"/>
    <x v="9"/>
    <n v="3215.48"/>
    <n v="90"/>
    <x v="0"/>
    <x v="4"/>
    <n v="3"/>
  </r>
  <r>
    <x v="503"/>
    <s v="Daniel Jones"/>
    <n v="62"/>
    <x v="0"/>
    <x v="162"/>
    <d v="2025-01-27T00:00:00"/>
    <x v="0"/>
    <x v="6"/>
    <n v="17458.62"/>
    <n v="0"/>
    <x v="0"/>
    <x v="0"/>
    <n v="6"/>
  </r>
  <r>
    <x v="504"/>
    <s v="Steven Young"/>
    <n v="57"/>
    <x v="0"/>
    <x v="279"/>
    <d v="2025-12-07T00:00:00"/>
    <x v="0"/>
    <x v="0"/>
    <n v="14707.56"/>
    <n v="80"/>
    <x v="2"/>
    <x v="0"/>
    <n v="5"/>
  </r>
  <r>
    <x v="505"/>
    <s v="Steven Davis"/>
    <n v="52"/>
    <x v="0"/>
    <x v="234"/>
    <d v="2024-07-17T00:00:00"/>
    <x v="2"/>
    <x v="10"/>
    <n v="5116.62"/>
    <n v="90"/>
    <x v="2"/>
    <x v="0"/>
    <n v="4"/>
  </r>
  <r>
    <x v="506"/>
    <s v="Barbara Davis"/>
    <n v="29"/>
    <x v="1"/>
    <x v="323"/>
    <d v="2024-08-13T00:00:00"/>
    <x v="4"/>
    <x v="18"/>
    <n v="11957.78"/>
    <n v="80"/>
    <x v="1"/>
    <x v="2"/>
    <n v="7"/>
  </r>
  <r>
    <x v="507"/>
    <s v="Michelle Taylor"/>
    <n v="76"/>
    <x v="1"/>
    <x v="273"/>
    <d v="2024-08-22T00:00:00"/>
    <x v="1"/>
    <x v="3"/>
    <n v="2237.66"/>
    <n v="80"/>
    <x v="0"/>
    <x v="1"/>
    <n v="1"/>
  </r>
  <r>
    <x v="508"/>
    <s v="Steven Robinson"/>
    <n v="29"/>
    <x v="0"/>
    <x v="365"/>
    <d v="2025-07-19T00:00:00"/>
    <x v="2"/>
    <x v="8"/>
    <n v="912.18"/>
    <n v="50"/>
    <x v="1"/>
    <x v="2"/>
    <n v="1"/>
  </r>
  <r>
    <x v="509"/>
    <s v="Lisa Lopez"/>
    <n v="63"/>
    <x v="1"/>
    <x v="362"/>
    <d v="2025-01-10T00:00:00"/>
    <x v="1"/>
    <x v="7"/>
    <n v="2435.08"/>
    <n v="60"/>
    <x v="2"/>
    <x v="0"/>
    <n v="1"/>
  </r>
  <r>
    <x v="510"/>
    <s v="Michael Miller"/>
    <n v="55"/>
    <x v="0"/>
    <x v="366"/>
    <d v="2024-02-18T00:00:00"/>
    <x v="4"/>
    <x v="27"/>
    <n v="26103.65"/>
    <n v="60"/>
    <x v="2"/>
    <x v="0"/>
    <n v="12"/>
  </r>
  <r>
    <x v="511"/>
    <s v="William Jones"/>
    <n v="6"/>
    <x v="0"/>
    <x v="15"/>
    <d v="2025-02-08T00:00:00"/>
    <x v="3"/>
    <x v="9"/>
    <n v="762.87"/>
    <n v="80"/>
    <x v="0"/>
    <x v="4"/>
    <n v="1"/>
  </r>
  <r>
    <x v="512"/>
    <s v="Michelle Thompson"/>
    <n v="15"/>
    <x v="1"/>
    <x v="33"/>
    <d v="2025-10-16T00:00:00"/>
    <x v="3"/>
    <x v="23"/>
    <n v="653.57000000000005"/>
    <n v="70"/>
    <x v="1"/>
    <x v="4"/>
    <n v="1"/>
  </r>
  <r>
    <x v="513"/>
    <s v="Mary Taylor"/>
    <n v="60"/>
    <x v="1"/>
    <x v="310"/>
    <d v="2025-12-27T00:00:00"/>
    <x v="4"/>
    <x v="18"/>
    <n v="7007.11"/>
    <n v="80"/>
    <x v="0"/>
    <x v="0"/>
    <n v="3"/>
  </r>
  <r>
    <x v="514"/>
    <s v="Joshua Williams"/>
    <n v="66"/>
    <x v="0"/>
    <x v="358"/>
    <d v="2025-05-22T00:00:00"/>
    <x v="2"/>
    <x v="8"/>
    <n v="9641.39"/>
    <n v="80"/>
    <x v="0"/>
    <x v="5"/>
    <n v="7"/>
  </r>
  <r>
    <x v="515"/>
    <s v="Lisa Wilson"/>
    <n v="41"/>
    <x v="1"/>
    <x v="70"/>
    <d v="2025-04-11T00:00:00"/>
    <x v="4"/>
    <x v="18"/>
    <n v="20277.68"/>
    <n v="60"/>
    <x v="1"/>
    <x v="3"/>
    <n v="10"/>
  </r>
  <r>
    <x v="516"/>
    <s v="Sandra Williams"/>
    <n v="56"/>
    <x v="1"/>
    <x v="367"/>
    <d v="2025-10-27T00:00:00"/>
    <x v="0"/>
    <x v="20"/>
    <n v="10406.790000000001"/>
    <n v="70"/>
    <x v="1"/>
    <x v="0"/>
    <n v="7"/>
  </r>
  <r>
    <x v="517"/>
    <s v="Steven Johnson"/>
    <n v="25"/>
    <x v="0"/>
    <x v="288"/>
    <d v="2025-04-24T00:00:00"/>
    <x v="1"/>
    <x v="36"/>
    <n v="5735.73"/>
    <n v="80"/>
    <x v="1"/>
    <x v="2"/>
    <n v="3"/>
  </r>
  <r>
    <x v="518"/>
    <s v="Andrew Lewis"/>
    <n v="38"/>
    <x v="0"/>
    <x v="49"/>
    <d v="2024-07-09T00:00:00"/>
    <x v="2"/>
    <x v="10"/>
    <n v="4420.13"/>
    <n v="90"/>
    <x v="0"/>
    <x v="3"/>
    <n v="3"/>
  </r>
  <r>
    <x v="519"/>
    <s v="Karen Walker"/>
    <n v="56"/>
    <x v="1"/>
    <x v="247"/>
    <d v="2025-08-25T00:00:00"/>
    <x v="2"/>
    <x v="21"/>
    <n v="4034.24"/>
    <n v="90"/>
    <x v="1"/>
    <x v="0"/>
    <n v="6"/>
  </r>
  <r>
    <x v="520"/>
    <s v="Brian Miller"/>
    <n v="53"/>
    <x v="0"/>
    <x v="61"/>
    <d v="2025-02-04T00:00:00"/>
    <x v="5"/>
    <x v="12"/>
    <n v="18224.23"/>
    <n v="80"/>
    <x v="0"/>
    <x v="0"/>
    <n v="11"/>
  </r>
  <r>
    <x v="521"/>
    <s v="Thomas Clark"/>
    <n v="21"/>
    <x v="0"/>
    <x v="368"/>
    <d v="2024-07-29T00:00:00"/>
    <x v="2"/>
    <x v="21"/>
    <n v="4562.96"/>
    <n v="90"/>
    <x v="0"/>
    <x v="2"/>
    <n v="7"/>
  </r>
  <r>
    <x v="522"/>
    <s v="David Anderson"/>
    <n v="1"/>
    <x v="0"/>
    <x v="369"/>
    <d v="2024-11-05T00:00:00"/>
    <x v="3"/>
    <x v="23"/>
    <n v="7560.63"/>
    <n v="0"/>
    <x v="0"/>
    <x v="4"/>
    <n v="5"/>
  </r>
  <r>
    <x v="523"/>
    <s v="Sarah Anderson"/>
    <n v="21"/>
    <x v="1"/>
    <x v="227"/>
    <d v="2025-07-16T00:00:00"/>
    <x v="2"/>
    <x v="8"/>
    <n v="605"/>
    <n v="80"/>
    <x v="0"/>
    <x v="2"/>
    <n v="1"/>
  </r>
  <r>
    <x v="524"/>
    <s v="Lisa Davis"/>
    <n v="77"/>
    <x v="1"/>
    <x v="27"/>
    <d v="2025-01-26T00:00:00"/>
    <x v="1"/>
    <x v="31"/>
    <n v="899.35"/>
    <n v="70"/>
    <x v="1"/>
    <x v="1"/>
    <n v="1"/>
  </r>
  <r>
    <x v="525"/>
    <s v="Kenneth Davis"/>
    <n v="54"/>
    <x v="0"/>
    <x v="337"/>
    <d v="2024-03-04T00:00:00"/>
    <x v="0"/>
    <x v="0"/>
    <n v="13642.77"/>
    <n v="80"/>
    <x v="2"/>
    <x v="0"/>
    <n v="5"/>
  </r>
  <r>
    <x v="526"/>
    <s v="Emily Walker"/>
    <n v="49"/>
    <x v="1"/>
    <x v="370"/>
    <d v="2024-09-09T00:00:00"/>
    <x v="2"/>
    <x v="16"/>
    <n v="1419.55"/>
    <n v="90"/>
    <x v="2"/>
    <x v="3"/>
    <n v="1"/>
  </r>
  <r>
    <x v="527"/>
    <s v="Thomas Garcia"/>
    <n v="74"/>
    <x v="0"/>
    <x v="371"/>
    <d v="2025-09-13T00:00:00"/>
    <x v="2"/>
    <x v="4"/>
    <n v="4915.01"/>
    <n v="90"/>
    <x v="0"/>
    <x v="1"/>
    <n v="5"/>
  </r>
  <r>
    <x v="528"/>
    <s v="Sarah Lee"/>
    <n v="24"/>
    <x v="1"/>
    <x v="372"/>
    <d v="2024-06-09T00:00:00"/>
    <x v="2"/>
    <x v="21"/>
    <n v="879.73"/>
    <n v="80"/>
    <x v="0"/>
    <x v="2"/>
    <n v="1"/>
  </r>
  <r>
    <x v="529"/>
    <s v="Barbara Thompson"/>
    <n v="78"/>
    <x v="1"/>
    <x v="140"/>
    <d v="2024-07-26T00:00:00"/>
    <x v="1"/>
    <x v="3"/>
    <n v="4924.09"/>
    <n v="70"/>
    <x v="0"/>
    <x v="1"/>
    <n v="3"/>
  </r>
  <r>
    <x v="530"/>
    <s v="Joshua Miller"/>
    <n v="34"/>
    <x v="0"/>
    <x v="211"/>
    <d v="2025-11-12T00:00:00"/>
    <x v="4"/>
    <x v="11"/>
    <n v="13077.22"/>
    <n v="60"/>
    <x v="2"/>
    <x v="2"/>
    <n v="10"/>
  </r>
  <r>
    <x v="531"/>
    <s v="William Young"/>
    <n v="45"/>
    <x v="0"/>
    <x v="298"/>
    <d v="2025-10-18T00:00:00"/>
    <x v="2"/>
    <x v="8"/>
    <n v="5438.75"/>
    <n v="80"/>
    <x v="0"/>
    <x v="3"/>
    <n v="7"/>
  </r>
  <r>
    <x v="532"/>
    <s v="Carol Ramirez"/>
    <n v="59"/>
    <x v="1"/>
    <x v="283"/>
    <d v="2024-11-04T00:00:00"/>
    <x v="0"/>
    <x v="1"/>
    <n v="23659.1"/>
    <n v="90"/>
    <x v="1"/>
    <x v="0"/>
    <n v="8"/>
  </r>
  <r>
    <x v="533"/>
    <s v="Robert Clark"/>
    <n v="80"/>
    <x v="0"/>
    <x v="43"/>
    <d v="2024-07-22T00:00:00"/>
    <x v="0"/>
    <x v="29"/>
    <n v="10323.56"/>
    <n v="70"/>
    <x v="0"/>
    <x v="1"/>
    <n v="5"/>
  </r>
  <r>
    <x v="534"/>
    <s v="James Walker"/>
    <n v="53"/>
    <x v="0"/>
    <x v="38"/>
    <d v="2024-12-26T00:00:00"/>
    <x v="4"/>
    <x v="27"/>
    <n v="23629.360000000001"/>
    <n v="90"/>
    <x v="0"/>
    <x v="0"/>
    <n v="9"/>
  </r>
  <r>
    <x v="535"/>
    <s v="Thomas Lewis"/>
    <n v="65"/>
    <x v="0"/>
    <x v="256"/>
    <d v="2024-03-14T00:00:00"/>
    <x v="2"/>
    <x v="21"/>
    <n v="7474.49"/>
    <n v="70"/>
    <x v="0"/>
    <x v="0"/>
    <n v="6"/>
  </r>
  <r>
    <x v="536"/>
    <s v="Elizabeth Robinson"/>
    <n v="46"/>
    <x v="1"/>
    <x v="19"/>
    <d v="2025-05-30T00:00:00"/>
    <x v="1"/>
    <x v="32"/>
    <n v="6062.52"/>
    <n v="90"/>
    <x v="0"/>
    <x v="3"/>
    <n v="3"/>
  </r>
  <r>
    <x v="537"/>
    <s v="Karen Taylor"/>
    <n v="19"/>
    <x v="1"/>
    <x v="373"/>
    <d v="2024-07-01T00:00:00"/>
    <x v="1"/>
    <x v="15"/>
    <n v="4748.93"/>
    <n v="0"/>
    <x v="0"/>
    <x v="2"/>
    <n v="2"/>
  </r>
  <r>
    <x v="538"/>
    <s v="Anthony Jackson"/>
    <n v="12"/>
    <x v="0"/>
    <x v="281"/>
    <d v="2025-05-14T00:00:00"/>
    <x v="3"/>
    <x v="22"/>
    <n v="5993.64"/>
    <n v="0"/>
    <x v="2"/>
    <x v="4"/>
    <n v="4"/>
  </r>
  <r>
    <x v="539"/>
    <s v="Michael Taylor"/>
    <n v="49"/>
    <x v="0"/>
    <x v="374"/>
    <d v="2025-11-22T00:00:00"/>
    <x v="2"/>
    <x v="8"/>
    <n v="1129.2"/>
    <n v="80"/>
    <x v="0"/>
    <x v="3"/>
    <n v="2"/>
  </r>
  <r>
    <x v="540"/>
    <s v="Barbara Davis"/>
    <n v="47"/>
    <x v="1"/>
    <x v="146"/>
    <d v="2024-05-08T00:00:00"/>
    <x v="1"/>
    <x v="31"/>
    <n v="2925.89"/>
    <n v="60"/>
    <x v="2"/>
    <x v="3"/>
    <n v="3"/>
  </r>
  <r>
    <x v="541"/>
    <s v="Karen Davis"/>
    <n v="60"/>
    <x v="1"/>
    <x v="375"/>
    <d v="2024-10-02T00:00:00"/>
    <x v="1"/>
    <x v="31"/>
    <n v="3791.25"/>
    <n v="60"/>
    <x v="1"/>
    <x v="0"/>
    <n v="2"/>
  </r>
  <r>
    <x v="542"/>
    <s v="Karen White"/>
    <n v="39"/>
    <x v="1"/>
    <x v="30"/>
    <d v="2024-06-30T00:00:00"/>
    <x v="4"/>
    <x v="27"/>
    <n v="17536.5"/>
    <n v="90"/>
    <x v="0"/>
    <x v="3"/>
    <n v="7"/>
  </r>
  <r>
    <x v="543"/>
    <s v="Sarah Davis"/>
    <n v="35"/>
    <x v="1"/>
    <x v="376"/>
    <d v="2025-02-03T00:00:00"/>
    <x v="2"/>
    <x v="4"/>
    <n v="2285.7199999999998"/>
    <n v="90"/>
    <x v="0"/>
    <x v="2"/>
    <n v="4"/>
  </r>
  <r>
    <x v="544"/>
    <s v="Carol Wilson"/>
    <n v="37"/>
    <x v="1"/>
    <x v="377"/>
    <d v="2024-01-22T00:00:00"/>
    <x v="4"/>
    <x v="18"/>
    <n v="11741.84"/>
    <n v="80"/>
    <x v="0"/>
    <x v="3"/>
    <n v="9"/>
  </r>
  <r>
    <x v="545"/>
    <s v="Emily Jackson"/>
    <n v="51"/>
    <x v="1"/>
    <x v="378"/>
    <d v="2025-10-21T00:00:00"/>
    <x v="0"/>
    <x v="6"/>
    <n v="17157.7"/>
    <n v="80"/>
    <x v="1"/>
    <x v="0"/>
    <n v="8"/>
  </r>
  <r>
    <x v="546"/>
    <s v="Susan Clark"/>
    <n v="69"/>
    <x v="1"/>
    <x v="119"/>
    <d v="2025-05-17T00:00:00"/>
    <x v="2"/>
    <x v="33"/>
    <n v="1202.17"/>
    <n v="0"/>
    <x v="2"/>
    <x v="1"/>
    <n v="1"/>
  </r>
  <r>
    <x v="547"/>
    <s v="David Johnson"/>
    <n v="10"/>
    <x v="0"/>
    <x v="379"/>
    <d v="2025-05-26T00:00:00"/>
    <x v="3"/>
    <x v="9"/>
    <n v="963.75"/>
    <n v="100"/>
    <x v="0"/>
    <x v="4"/>
    <n v="1"/>
  </r>
  <r>
    <x v="548"/>
    <s v="Andrew White"/>
    <n v="5"/>
    <x v="0"/>
    <x v="124"/>
    <d v="2025-07-04T00:00:00"/>
    <x v="3"/>
    <x v="9"/>
    <n v="634.45000000000005"/>
    <n v="80"/>
    <x v="0"/>
    <x v="4"/>
    <n v="1"/>
  </r>
  <r>
    <x v="549"/>
    <s v="Joshua Clark"/>
    <n v="67"/>
    <x v="0"/>
    <x v="380"/>
    <d v="2025-07-01T00:00:00"/>
    <x v="4"/>
    <x v="18"/>
    <n v="15003.09"/>
    <n v="60"/>
    <x v="1"/>
    <x v="1"/>
    <n v="12"/>
  </r>
  <r>
    <x v="550"/>
    <s v="Jennifer Anderson"/>
    <n v="33"/>
    <x v="1"/>
    <x v="381"/>
    <d v="2024-08-18T00:00:00"/>
    <x v="1"/>
    <x v="7"/>
    <n v="1936.8"/>
    <n v="80"/>
    <x v="0"/>
    <x v="2"/>
    <n v="2"/>
  </r>
  <r>
    <x v="551"/>
    <s v="Karen Taylor"/>
    <n v="37"/>
    <x v="1"/>
    <x v="275"/>
    <d v="2025-03-23T00:00:00"/>
    <x v="1"/>
    <x v="2"/>
    <n v="6193.25"/>
    <n v="60"/>
    <x v="1"/>
    <x v="3"/>
    <n v="3"/>
  </r>
  <r>
    <x v="552"/>
    <s v="Donna Jackson"/>
    <n v="72"/>
    <x v="1"/>
    <x v="382"/>
    <d v="2025-10-25T00:00:00"/>
    <x v="4"/>
    <x v="11"/>
    <n v="11831.06"/>
    <n v="80"/>
    <x v="2"/>
    <x v="1"/>
    <n v="7"/>
  </r>
  <r>
    <x v="553"/>
    <s v="Richard Perez"/>
    <n v="75"/>
    <x v="0"/>
    <x v="284"/>
    <d v="2025-02-11T00:00:00"/>
    <x v="2"/>
    <x v="16"/>
    <n v="7790.86"/>
    <n v="100"/>
    <x v="0"/>
    <x v="1"/>
    <n v="7"/>
  </r>
  <r>
    <x v="554"/>
    <s v="Nancy Young"/>
    <n v="27"/>
    <x v="1"/>
    <x v="374"/>
    <d v="2025-11-27T00:00:00"/>
    <x v="2"/>
    <x v="8"/>
    <n v="4784.6000000000004"/>
    <n v="70"/>
    <x v="0"/>
    <x v="2"/>
    <n v="7"/>
  </r>
  <r>
    <x v="555"/>
    <s v="James Williams"/>
    <n v="60"/>
    <x v="0"/>
    <x v="383"/>
    <d v="2024-02-09T00:00:00"/>
    <x v="0"/>
    <x v="6"/>
    <n v="11688.29"/>
    <n v="70"/>
    <x v="2"/>
    <x v="0"/>
    <n v="4"/>
  </r>
  <r>
    <x v="556"/>
    <s v="Richard Perez"/>
    <n v="42"/>
    <x v="0"/>
    <x v="248"/>
    <d v="2024-09-17T00:00:00"/>
    <x v="0"/>
    <x v="1"/>
    <n v="18692.25"/>
    <n v="70"/>
    <x v="0"/>
    <x v="3"/>
    <n v="8"/>
  </r>
  <r>
    <x v="557"/>
    <s v="Richard Davis"/>
    <n v="10"/>
    <x v="0"/>
    <x v="235"/>
    <d v="2024-06-05T00:00:00"/>
    <x v="3"/>
    <x v="9"/>
    <n v="3371.75"/>
    <n v="100"/>
    <x v="0"/>
    <x v="4"/>
    <n v="5"/>
  </r>
  <r>
    <x v="558"/>
    <s v="Barbara Martinez"/>
    <n v="79"/>
    <x v="1"/>
    <x v="384"/>
    <d v="2024-08-14T00:00:00"/>
    <x v="1"/>
    <x v="3"/>
    <n v="4382.4799999999996"/>
    <n v="70"/>
    <x v="1"/>
    <x v="1"/>
    <n v="2"/>
  </r>
  <r>
    <x v="559"/>
    <s v="Michelle Brown"/>
    <n v="82"/>
    <x v="1"/>
    <x v="385"/>
    <d v="2024-09-18T00:00:00"/>
    <x v="2"/>
    <x v="4"/>
    <n v="4088.62"/>
    <n v="60"/>
    <x v="2"/>
    <x v="1"/>
    <n v="4"/>
  </r>
  <r>
    <x v="560"/>
    <s v="Mark Lopez"/>
    <n v="7"/>
    <x v="0"/>
    <x v="94"/>
    <d v="2025-07-30T00:00:00"/>
    <x v="3"/>
    <x v="37"/>
    <n v="3324.31"/>
    <n v="80"/>
    <x v="2"/>
    <x v="4"/>
    <n v="3"/>
  </r>
  <r>
    <x v="561"/>
    <s v="Paul Taylor"/>
    <n v="25"/>
    <x v="0"/>
    <x v="386"/>
    <d v="2024-05-09T00:00:00"/>
    <x v="4"/>
    <x v="11"/>
    <n v="9961.07"/>
    <n v="70"/>
    <x v="0"/>
    <x v="2"/>
    <n v="8"/>
  </r>
  <r>
    <x v="562"/>
    <s v="Richard Brown"/>
    <n v="77"/>
    <x v="0"/>
    <x v="387"/>
    <d v="2024-01-30T00:00:00"/>
    <x v="2"/>
    <x v="16"/>
    <n v="8841.14"/>
    <n v="0"/>
    <x v="0"/>
    <x v="1"/>
    <n v="6"/>
  </r>
  <r>
    <x v="563"/>
    <s v="David Williams"/>
    <n v="3"/>
    <x v="0"/>
    <x v="388"/>
    <d v="2025-04-12T00:00:00"/>
    <x v="3"/>
    <x v="9"/>
    <n v="5228.9399999999996"/>
    <n v="50"/>
    <x v="1"/>
    <x v="4"/>
    <n v="3"/>
  </r>
  <r>
    <x v="564"/>
    <s v="Daniel Williams"/>
    <n v="47"/>
    <x v="0"/>
    <x v="46"/>
    <d v="2025-11-10T00:00:00"/>
    <x v="2"/>
    <x v="21"/>
    <n v="6395.28"/>
    <n v="90"/>
    <x v="0"/>
    <x v="3"/>
    <n v="5"/>
  </r>
  <r>
    <x v="565"/>
    <s v="Jennifer Young"/>
    <n v="68"/>
    <x v="1"/>
    <x v="384"/>
    <d v="2024-08-13T00:00:00"/>
    <x v="2"/>
    <x v="16"/>
    <n v="973.65"/>
    <n v="80"/>
    <x v="1"/>
    <x v="1"/>
    <n v="1"/>
  </r>
  <r>
    <x v="566"/>
    <s v="Joshua Garcia"/>
    <n v="52"/>
    <x v="0"/>
    <x v="389"/>
    <d v="2025-03-13T00:00:00"/>
    <x v="0"/>
    <x v="6"/>
    <n v="10137.39"/>
    <n v="70"/>
    <x v="2"/>
    <x v="0"/>
    <n v="5"/>
  </r>
  <r>
    <x v="567"/>
    <s v="Ashley Moore"/>
    <n v="28"/>
    <x v="1"/>
    <x v="161"/>
    <d v="2024-01-21T00:00:00"/>
    <x v="4"/>
    <x v="14"/>
    <n v="22947.49"/>
    <n v="80"/>
    <x v="0"/>
    <x v="2"/>
    <n v="12"/>
  </r>
  <r>
    <x v="568"/>
    <s v="Kevin Anderson"/>
    <n v="67"/>
    <x v="0"/>
    <x v="193"/>
    <d v="2024-09-20T00:00:00"/>
    <x v="4"/>
    <x v="26"/>
    <n v="2438.71"/>
    <n v="70"/>
    <x v="2"/>
    <x v="1"/>
    <n v="2"/>
  </r>
  <r>
    <x v="569"/>
    <s v="Barbara Smith"/>
    <n v="55"/>
    <x v="1"/>
    <x v="352"/>
    <d v="2024-03-11T00:00:00"/>
    <x v="1"/>
    <x v="36"/>
    <n v="1963.87"/>
    <n v="80"/>
    <x v="2"/>
    <x v="0"/>
    <n v="2"/>
  </r>
  <r>
    <x v="570"/>
    <s v="Andrew White"/>
    <n v="12"/>
    <x v="0"/>
    <x v="155"/>
    <d v="2025-06-26T00:00:00"/>
    <x v="3"/>
    <x v="24"/>
    <n v="3527.16"/>
    <n v="70"/>
    <x v="0"/>
    <x v="4"/>
    <n v="3"/>
  </r>
  <r>
    <x v="571"/>
    <s v="Richard Thomas"/>
    <n v="35"/>
    <x v="0"/>
    <x v="194"/>
    <d v="2025-07-29T00:00:00"/>
    <x v="1"/>
    <x v="36"/>
    <n v="5342.79"/>
    <n v="70"/>
    <x v="0"/>
    <x v="2"/>
    <n v="3"/>
  </r>
  <r>
    <x v="572"/>
    <s v="Betty Jackson"/>
    <n v="30"/>
    <x v="1"/>
    <x v="390"/>
    <d v="2024-08-31T00:00:00"/>
    <x v="4"/>
    <x v="14"/>
    <n v="30203.49"/>
    <n v="100"/>
    <x v="1"/>
    <x v="2"/>
    <n v="12"/>
  </r>
  <r>
    <x v="573"/>
    <s v="Joshua Clark"/>
    <n v="69"/>
    <x v="0"/>
    <x v="391"/>
    <d v="2024-05-01T00:00:00"/>
    <x v="4"/>
    <x v="14"/>
    <n v="7312.84"/>
    <n v="70"/>
    <x v="1"/>
    <x v="1"/>
    <n v="6"/>
  </r>
  <r>
    <x v="574"/>
    <s v="Sarah Robinson"/>
    <n v="34"/>
    <x v="1"/>
    <x v="235"/>
    <d v="2024-06-04T00:00:00"/>
    <x v="2"/>
    <x v="33"/>
    <n v="4926.28"/>
    <n v="90"/>
    <x v="0"/>
    <x v="2"/>
    <n v="4"/>
  </r>
  <r>
    <x v="575"/>
    <s v="Kimberly Moore"/>
    <n v="84"/>
    <x v="1"/>
    <x v="269"/>
    <d v="2025-09-08T00:00:00"/>
    <x v="1"/>
    <x v="3"/>
    <n v="3526.66"/>
    <n v="100"/>
    <x v="2"/>
    <x v="1"/>
    <n v="2"/>
  </r>
  <r>
    <x v="576"/>
    <s v="Kimberly Jones"/>
    <n v="76"/>
    <x v="1"/>
    <x v="392"/>
    <d v="2025-05-04T00:00:00"/>
    <x v="2"/>
    <x v="21"/>
    <n v="3004.47"/>
    <n v="80"/>
    <x v="0"/>
    <x v="1"/>
    <n v="4"/>
  </r>
  <r>
    <x v="577"/>
    <s v="Michael Brown"/>
    <n v="55"/>
    <x v="0"/>
    <x v="136"/>
    <d v="2025-05-23T00:00:00"/>
    <x v="1"/>
    <x v="31"/>
    <n v="988.47"/>
    <n v="90"/>
    <x v="0"/>
    <x v="0"/>
    <n v="1"/>
  </r>
  <r>
    <x v="578"/>
    <s v="Jennifer Lee"/>
    <n v="63"/>
    <x v="1"/>
    <x v="286"/>
    <d v="2025-07-14T00:00:00"/>
    <x v="0"/>
    <x v="29"/>
    <n v="8993.9699999999993"/>
    <n v="60"/>
    <x v="0"/>
    <x v="0"/>
    <n v="7"/>
  </r>
  <r>
    <x v="579"/>
    <s v="Anthony Moore"/>
    <n v="66"/>
    <x v="0"/>
    <x v="393"/>
    <d v="2025-07-05T00:00:00"/>
    <x v="0"/>
    <x v="19"/>
    <n v="7934.14"/>
    <n v="80"/>
    <x v="0"/>
    <x v="5"/>
    <n v="4"/>
  </r>
  <r>
    <x v="580"/>
    <s v="Elizabeth Thomas"/>
    <n v="35"/>
    <x v="1"/>
    <x v="394"/>
    <d v="2025-09-26T00:00:00"/>
    <x v="1"/>
    <x v="32"/>
    <n v="2517.29"/>
    <n v="80"/>
    <x v="0"/>
    <x v="2"/>
    <n v="3"/>
  </r>
  <r>
    <x v="581"/>
    <s v="William Hernandez"/>
    <n v="48"/>
    <x v="0"/>
    <x v="395"/>
    <d v="2024-07-08T00:00:00"/>
    <x v="0"/>
    <x v="0"/>
    <n v="12873.58"/>
    <n v="70"/>
    <x v="1"/>
    <x v="3"/>
    <n v="8"/>
  </r>
  <r>
    <x v="582"/>
    <s v="Barbara Martin"/>
    <n v="73"/>
    <x v="1"/>
    <x v="269"/>
    <d v="2025-09-10T00:00:00"/>
    <x v="2"/>
    <x v="4"/>
    <n v="5208.9799999999996"/>
    <n v="80"/>
    <x v="0"/>
    <x v="1"/>
    <n v="4"/>
  </r>
  <r>
    <x v="583"/>
    <s v="Joseph Davis"/>
    <n v="80"/>
    <x v="0"/>
    <x v="396"/>
    <d v="2024-07-25T00:00:00"/>
    <x v="0"/>
    <x v="1"/>
    <n v="16136.12"/>
    <n v="100"/>
    <x v="0"/>
    <x v="1"/>
    <n v="9"/>
  </r>
  <r>
    <x v="584"/>
    <s v="Lisa Thomas"/>
    <n v="10"/>
    <x v="1"/>
    <x v="397"/>
    <d v="2025-08-08T00:00:00"/>
    <x v="3"/>
    <x v="23"/>
    <n v="4827.5"/>
    <n v="80"/>
    <x v="2"/>
    <x v="4"/>
    <n v="4"/>
  </r>
  <r>
    <x v="585"/>
    <s v="Kenneth Jones"/>
    <n v="19"/>
    <x v="0"/>
    <x v="252"/>
    <d v="2025-07-15T00:00:00"/>
    <x v="1"/>
    <x v="3"/>
    <n v="6858.75"/>
    <n v="80"/>
    <x v="1"/>
    <x v="2"/>
    <n v="3"/>
  </r>
  <r>
    <x v="586"/>
    <s v="Lisa Smith"/>
    <n v="9"/>
    <x v="1"/>
    <x v="88"/>
    <d v="2024-11-21T00:00:00"/>
    <x v="3"/>
    <x v="24"/>
    <n v="6485.39"/>
    <n v="70"/>
    <x v="2"/>
    <x v="4"/>
    <n v="5"/>
  </r>
  <r>
    <x v="587"/>
    <s v="Anthony Miller"/>
    <n v="71"/>
    <x v="0"/>
    <x v="398"/>
    <d v="2024-07-29T00:00:00"/>
    <x v="2"/>
    <x v="10"/>
    <n v="5888.84"/>
    <n v="60"/>
    <x v="0"/>
    <x v="1"/>
    <n v="4"/>
  </r>
  <r>
    <x v="588"/>
    <s v="William Lopez"/>
    <n v="57"/>
    <x v="0"/>
    <x v="70"/>
    <d v="2025-04-02T00:00:00"/>
    <x v="2"/>
    <x v="21"/>
    <n v="988.37"/>
    <n v="90"/>
    <x v="0"/>
    <x v="0"/>
    <n v="1"/>
  </r>
  <r>
    <x v="589"/>
    <s v="Thomas Harris"/>
    <n v="41"/>
    <x v="0"/>
    <x v="377"/>
    <d v="2024-01-26T00:00:00"/>
    <x v="4"/>
    <x v="26"/>
    <n v="20871.689999999999"/>
    <n v="60"/>
    <x v="2"/>
    <x v="3"/>
    <n v="13"/>
  </r>
  <r>
    <x v="590"/>
    <s v="Lisa Jackson"/>
    <n v="44"/>
    <x v="1"/>
    <x v="142"/>
    <d v="2025-10-02T00:00:00"/>
    <x v="5"/>
    <x v="28"/>
    <n v="14061.87"/>
    <n v="50"/>
    <x v="0"/>
    <x v="3"/>
    <n v="6"/>
  </r>
  <r>
    <x v="591"/>
    <s v="Andrew Hernandez"/>
    <n v="74"/>
    <x v="0"/>
    <x v="238"/>
    <d v="2024-09-27T00:00:00"/>
    <x v="2"/>
    <x v="5"/>
    <n v="3702.92"/>
    <n v="70"/>
    <x v="1"/>
    <x v="1"/>
    <n v="3"/>
  </r>
  <r>
    <x v="592"/>
    <s v="Christopher Jackson"/>
    <n v="42"/>
    <x v="0"/>
    <x v="133"/>
    <d v="2024-04-04T00:00:00"/>
    <x v="0"/>
    <x v="19"/>
    <n v="6940.9"/>
    <n v="70"/>
    <x v="0"/>
    <x v="3"/>
    <n v="4"/>
  </r>
  <r>
    <x v="593"/>
    <s v="Joseph Clark"/>
    <n v="74"/>
    <x v="0"/>
    <x v="132"/>
    <d v="2025-07-20T00:00:00"/>
    <x v="0"/>
    <x v="1"/>
    <n v="25312.2"/>
    <n v="70"/>
    <x v="1"/>
    <x v="1"/>
    <n v="9"/>
  </r>
  <r>
    <x v="594"/>
    <s v="Brian Clark"/>
    <n v="20"/>
    <x v="0"/>
    <x v="399"/>
    <d v="2025-03-26T00:00:00"/>
    <x v="1"/>
    <x v="31"/>
    <n v="4859.2700000000004"/>
    <n v="60"/>
    <x v="1"/>
    <x v="2"/>
    <n v="3"/>
  </r>
  <r>
    <x v="595"/>
    <s v="Dorothy Garcia"/>
    <n v="7"/>
    <x v="1"/>
    <x v="400"/>
    <d v="2025-01-01T00:00:00"/>
    <x v="3"/>
    <x v="25"/>
    <n v="5071.3900000000003"/>
    <n v="90"/>
    <x v="2"/>
    <x v="4"/>
    <n v="4"/>
  </r>
  <r>
    <x v="596"/>
    <s v="Dorothy Robinson"/>
    <n v="46"/>
    <x v="1"/>
    <x v="401"/>
    <d v="2024-04-13T00:00:00"/>
    <x v="2"/>
    <x v="8"/>
    <n v="826.69"/>
    <n v="80"/>
    <x v="0"/>
    <x v="3"/>
    <n v="1"/>
  </r>
  <r>
    <x v="597"/>
    <s v="Kenneth Thomas"/>
    <n v="75"/>
    <x v="0"/>
    <x v="30"/>
    <d v="2024-06-26T00:00:00"/>
    <x v="1"/>
    <x v="2"/>
    <n v="3573.44"/>
    <n v="80"/>
    <x v="0"/>
    <x v="1"/>
    <n v="3"/>
  </r>
  <r>
    <x v="598"/>
    <s v="Betty Davis"/>
    <n v="17"/>
    <x v="1"/>
    <x v="4"/>
    <d v="2024-11-27T00:00:00"/>
    <x v="3"/>
    <x v="25"/>
    <n v="3120.86"/>
    <n v="70"/>
    <x v="0"/>
    <x v="4"/>
    <n v="2"/>
  </r>
  <r>
    <x v="599"/>
    <s v="Jessica Anderson"/>
    <n v="36"/>
    <x v="1"/>
    <x v="402"/>
    <d v="2025-03-26T00:00:00"/>
    <x v="1"/>
    <x v="32"/>
    <n v="1050.82"/>
    <n v="70"/>
    <x v="1"/>
    <x v="3"/>
    <n v="1"/>
  </r>
  <r>
    <x v="600"/>
    <s v="Barbara Hernandez"/>
    <n v="58"/>
    <x v="1"/>
    <x v="403"/>
    <d v="2024-03-20T00:00:00"/>
    <x v="1"/>
    <x v="2"/>
    <n v="4246.95"/>
    <n v="70"/>
    <x v="2"/>
    <x v="0"/>
    <n v="3"/>
  </r>
  <r>
    <x v="601"/>
    <s v="Daniel Moore"/>
    <n v="24"/>
    <x v="0"/>
    <x v="404"/>
    <d v="2025-09-21T00:00:00"/>
    <x v="1"/>
    <x v="36"/>
    <n v="3111.41"/>
    <n v="90"/>
    <x v="0"/>
    <x v="2"/>
    <n v="3"/>
  </r>
  <r>
    <x v="602"/>
    <s v="Ashley Moore"/>
    <n v="56"/>
    <x v="1"/>
    <x v="100"/>
    <d v="2024-12-09T00:00:00"/>
    <x v="2"/>
    <x v="4"/>
    <n v="6980.98"/>
    <n v="90"/>
    <x v="0"/>
    <x v="0"/>
    <n v="5"/>
  </r>
  <r>
    <x v="603"/>
    <s v="Paul Smith"/>
    <n v="41"/>
    <x v="0"/>
    <x v="405"/>
    <d v="2024-02-17T00:00:00"/>
    <x v="5"/>
    <x v="30"/>
    <n v="11620.41"/>
    <n v="100"/>
    <x v="0"/>
    <x v="3"/>
    <n v="9"/>
  </r>
  <r>
    <x v="604"/>
    <s v="Donna Ramirez"/>
    <n v="50"/>
    <x v="1"/>
    <x v="406"/>
    <d v="2025-07-25T00:00:00"/>
    <x v="1"/>
    <x v="3"/>
    <n v="3974.41"/>
    <n v="50"/>
    <x v="0"/>
    <x v="3"/>
    <n v="3"/>
  </r>
  <r>
    <x v="605"/>
    <s v="Richard Robinson"/>
    <n v="72"/>
    <x v="0"/>
    <x v="407"/>
    <d v="2024-06-16T00:00:00"/>
    <x v="5"/>
    <x v="28"/>
    <n v="14702.17"/>
    <n v="80"/>
    <x v="1"/>
    <x v="1"/>
    <n v="6"/>
  </r>
  <r>
    <x v="606"/>
    <s v="Thomas Perez"/>
    <n v="41"/>
    <x v="0"/>
    <x v="408"/>
    <d v="2025-05-25T00:00:00"/>
    <x v="0"/>
    <x v="29"/>
    <n v="17086.830000000002"/>
    <n v="90"/>
    <x v="0"/>
    <x v="3"/>
    <n v="7"/>
  </r>
  <r>
    <x v="607"/>
    <s v="Richard Anderson"/>
    <n v="24"/>
    <x v="0"/>
    <x v="377"/>
    <d v="2024-01-14T00:00:00"/>
    <x v="1"/>
    <x v="15"/>
    <n v="867.61"/>
    <n v="100"/>
    <x v="0"/>
    <x v="2"/>
    <n v="1"/>
  </r>
  <r>
    <x v="608"/>
    <s v="Dorothy Martin"/>
    <n v="51"/>
    <x v="1"/>
    <x v="213"/>
    <d v="2025-04-23T00:00:00"/>
    <x v="2"/>
    <x v="4"/>
    <n v="4084.48"/>
    <n v="80"/>
    <x v="0"/>
    <x v="0"/>
    <n v="6"/>
  </r>
  <r>
    <x v="609"/>
    <s v="Kimberly Lee"/>
    <n v="84"/>
    <x v="1"/>
    <x v="94"/>
    <d v="2025-07-28T00:00:00"/>
    <x v="2"/>
    <x v="5"/>
    <n v="1290.53"/>
    <n v="90"/>
    <x v="0"/>
    <x v="1"/>
    <n v="1"/>
  </r>
  <r>
    <x v="610"/>
    <s v="Ashley Martinez"/>
    <n v="3"/>
    <x v="1"/>
    <x v="38"/>
    <d v="2024-12-21T00:00:00"/>
    <x v="3"/>
    <x v="24"/>
    <n v="3707.94"/>
    <n v="90"/>
    <x v="0"/>
    <x v="4"/>
    <n v="4"/>
  </r>
  <r>
    <x v="611"/>
    <s v="Joseph Jones"/>
    <n v="57"/>
    <x v="0"/>
    <x v="409"/>
    <d v="2025-05-11T00:00:00"/>
    <x v="5"/>
    <x v="12"/>
    <n v="15346.13"/>
    <n v="80"/>
    <x v="0"/>
    <x v="0"/>
    <n v="9"/>
  </r>
  <r>
    <x v="612"/>
    <s v="Sarah Moore"/>
    <n v="45"/>
    <x v="1"/>
    <x v="125"/>
    <d v="2025-04-07T00:00:00"/>
    <x v="2"/>
    <x v="10"/>
    <n v="4821.37"/>
    <n v="80"/>
    <x v="0"/>
    <x v="3"/>
    <n v="5"/>
  </r>
  <r>
    <x v="613"/>
    <s v="Paul Hernandez"/>
    <n v="69"/>
    <x v="0"/>
    <x v="410"/>
    <d v="2025-09-01T00:00:00"/>
    <x v="0"/>
    <x v="19"/>
    <n v="15787.69"/>
    <n v="100"/>
    <x v="0"/>
    <x v="1"/>
    <n v="7"/>
  </r>
  <r>
    <x v="614"/>
    <s v="Kimberly Jones"/>
    <n v="14"/>
    <x v="1"/>
    <x v="394"/>
    <d v="2025-09-26T00:00:00"/>
    <x v="3"/>
    <x v="23"/>
    <n v="5118.0600000000004"/>
    <n v="80"/>
    <x v="0"/>
    <x v="4"/>
    <n v="3"/>
  </r>
  <r>
    <x v="615"/>
    <s v="Sandra Lewis"/>
    <n v="36"/>
    <x v="1"/>
    <x v="38"/>
    <d v="2024-12-18T00:00:00"/>
    <x v="1"/>
    <x v="7"/>
    <n v="1184.98"/>
    <n v="80"/>
    <x v="0"/>
    <x v="3"/>
    <n v="1"/>
  </r>
  <r>
    <x v="616"/>
    <s v="Nancy Martinez"/>
    <n v="16"/>
    <x v="1"/>
    <x v="411"/>
    <d v="2024-01-29T00:00:00"/>
    <x v="3"/>
    <x v="37"/>
    <n v="2558.2800000000002"/>
    <n v="90"/>
    <x v="0"/>
    <x v="4"/>
    <n v="3"/>
  </r>
  <r>
    <x v="617"/>
    <s v="Daniel Robinson"/>
    <n v="76"/>
    <x v="0"/>
    <x v="268"/>
    <d v="2025-01-16T00:00:00"/>
    <x v="0"/>
    <x v="20"/>
    <n v="3998.34"/>
    <n v="100"/>
    <x v="0"/>
    <x v="1"/>
    <n v="3"/>
  </r>
  <r>
    <x v="618"/>
    <s v="Lisa Brown"/>
    <n v="68"/>
    <x v="1"/>
    <x v="175"/>
    <d v="2024-12-03T00:00:00"/>
    <x v="4"/>
    <x v="13"/>
    <n v="4286.6400000000003"/>
    <n v="70"/>
    <x v="1"/>
    <x v="1"/>
    <n v="3"/>
  </r>
  <r>
    <x v="619"/>
    <s v="Mary Garcia"/>
    <n v="73"/>
    <x v="1"/>
    <x v="412"/>
    <d v="2025-11-04T00:00:00"/>
    <x v="0"/>
    <x v="6"/>
    <n v="21392.04"/>
    <n v="80"/>
    <x v="0"/>
    <x v="1"/>
    <n v="9"/>
  </r>
  <r>
    <x v="620"/>
    <s v="Robert Ramirez"/>
    <n v="37"/>
    <x v="0"/>
    <x v="353"/>
    <d v="2025-11-24T00:00:00"/>
    <x v="1"/>
    <x v="7"/>
    <n v="3201.39"/>
    <n v="80"/>
    <x v="0"/>
    <x v="3"/>
    <n v="2"/>
  </r>
  <r>
    <x v="621"/>
    <s v="Anthony Clark"/>
    <n v="11"/>
    <x v="0"/>
    <x v="413"/>
    <d v="2024-07-30T00:00:00"/>
    <x v="3"/>
    <x v="23"/>
    <n v="3300.07"/>
    <n v="100"/>
    <x v="0"/>
    <x v="4"/>
    <n v="2"/>
  </r>
  <r>
    <x v="622"/>
    <s v="Paul Martinez"/>
    <n v="7"/>
    <x v="0"/>
    <x v="414"/>
    <d v="2025-06-05T00:00:00"/>
    <x v="3"/>
    <x v="24"/>
    <n v="784.49"/>
    <n v="90"/>
    <x v="0"/>
    <x v="4"/>
    <n v="1"/>
  </r>
  <r>
    <x v="623"/>
    <s v="Brian Lopez"/>
    <n v="26"/>
    <x v="0"/>
    <x v="15"/>
    <d v="2025-02-08T00:00:00"/>
    <x v="2"/>
    <x v="8"/>
    <n v="1170.5999999999999"/>
    <n v="80"/>
    <x v="0"/>
    <x v="2"/>
    <n v="1"/>
  </r>
  <r>
    <x v="624"/>
    <s v="Richard Rodriguez"/>
    <n v="61"/>
    <x v="0"/>
    <x v="415"/>
    <d v="2024-11-08T00:00:00"/>
    <x v="0"/>
    <x v="0"/>
    <n v="11503.8"/>
    <n v="60"/>
    <x v="2"/>
    <x v="0"/>
    <n v="4"/>
  </r>
  <r>
    <x v="625"/>
    <s v="Jessica Ramirez"/>
    <n v="8"/>
    <x v="1"/>
    <x v="416"/>
    <d v="2025-06-30T00:00:00"/>
    <x v="3"/>
    <x v="25"/>
    <n v="1522.86"/>
    <n v="90"/>
    <x v="1"/>
    <x v="4"/>
    <n v="2"/>
  </r>
  <r>
    <x v="626"/>
    <s v="Sandra Jackson"/>
    <n v="78"/>
    <x v="1"/>
    <x v="177"/>
    <d v="2025-02-27T00:00:00"/>
    <x v="5"/>
    <x v="17"/>
    <n v="22757.119999999999"/>
    <n v="90"/>
    <x v="0"/>
    <x v="1"/>
    <n v="10"/>
  </r>
  <r>
    <x v="627"/>
    <s v="Daniel Jones"/>
    <n v="11"/>
    <x v="0"/>
    <x v="417"/>
    <d v="2024-09-06T00:00:00"/>
    <x v="3"/>
    <x v="24"/>
    <n v="3197.15"/>
    <n v="70"/>
    <x v="2"/>
    <x v="4"/>
    <n v="5"/>
  </r>
  <r>
    <x v="628"/>
    <s v="Sarah Ramirez"/>
    <n v="73"/>
    <x v="1"/>
    <x v="303"/>
    <d v="2024-05-31T00:00:00"/>
    <x v="2"/>
    <x v="4"/>
    <n v="2710.85"/>
    <n v="60"/>
    <x v="1"/>
    <x v="1"/>
    <n v="2"/>
  </r>
  <r>
    <x v="629"/>
    <s v="Michelle Young"/>
    <n v="84"/>
    <x v="1"/>
    <x v="404"/>
    <d v="2025-09-20T00:00:00"/>
    <x v="1"/>
    <x v="31"/>
    <n v="4532.09"/>
    <n v="90"/>
    <x v="1"/>
    <x v="1"/>
    <n v="2"/>
  </r>
  <r>
    <x v="630"/>
    <s v="Daniel Hernandez"/>
    <n v="43"/>
    <x v="0"/>
    <x v="300"/>
    <d v="2025-07-22T00:00:00"/>
    <x v="4"/>
    <x v="11"/>
    <n v="4972.62"/>
    <n v="80"/>
    <x v="0"/>
    <x v="3"/>
    <n v="3"/>
  </r>
  <r>
    <x v="631"/>
    <s v="Robert Rodriguez"/>
    <n v="1"/>
    <x v="0"/>
    <x v="418"/>
    <d v="2024-11-15T00:00:00"/>
    <x v="3"/>
    <x v="37"/>
    <n v="3235.05"/>
    <n v="70"/>
    <x v="0"/>
    <x v="4"/>
    <n v="2"/>
  </r>
  <r>
    <x v="632"/>
    <s v="Emily Jones"/>
    <n v="49"/>
    <x v="1"/>
    <x v="270"/>
    <d v="2025-10-09T00:00:00"/>
    <x v="2"/>
    <x v="21"/>
    <n v="2401.17"/>
    <n v="90"/>
    <x v="1"/>
    <x v="3"/>
    <n v="2"/>
  </r>
  <r>
    <x v="633"/>
    <s v="Donna Garcia"/>
    <n v="51"/>
    <x v="1"/>
    <x v="419"/>
    <d v="2024-05-19T00:00:00"/>
    <x v="4"/>
    <x v="27"/>
    <n v="33210.050000000003"/>
    <n v="80"/>
    <x v="1"/>
    <x v="0"/>
    <n v="12"/>
  </r>
  <r>
    <x v="634"/>
    <s v="Donna Lewis"/>
    <n v="73"/>
    <x v="1"/>
    <x v="38"/>
    <d v="2024-12-27T00:00:00"/>
    <x v="4"/>
    <x v="13"/>
    <n v="23689.65"/>
    <n v="90"/>
    <x v="0"/>
    <x v="1"/>
    <n v="10"/>
  </r>
  <r>
    <x v="635"/>
    <s v="Steven Thompson"/>
    <n v="26"/>
    <x v="0"/>
    <x v="420"/>
    <d v="2025-11-02T00:00:00"/>
    <x v="2"/>
    <x v="4"/>
    <n v="2927.98"/>
    <n v="100"/>
    <x v="0"/>
    <x v="2"/>
    <n v="3"/>
  </r>
  <r>
    <x v="636"/>
    <s v="Karen Thomas"/>
    <n v="58"/>
    <x v="1"/>
    <x v="421"/>
    <d v="2025-04-22T00:00:00"/>
    <x v="0"/>
    <x v="19"/>
    <n v="10908.77"/>
    <n v="90"/>
    <x v="1"/>
    <x v="0"/>
    <n v="9"/>
  </r>
  <r>
    <x v="637"/>
    <s v="Thomas Martinez"/>
    <n v="65"/>
    <x v="0"/>
    <x v="107"/>
    <d v="2024-07-10T00:00:00"/>
    <x v="0"/>
    <x v="1"/>
    <n v="9405.2000000000007"/>
    <n v="70"/>
    <x v="1"/>
    <x v="0"/>
    <n v="5"/>
  </r>
  <r>
    <x v="638"/>
    <s v="Jennifer Harris"/>
    <n v="37"/>
    <x v="1"/>
    <x v="247"/>
    <d v="2025-08-27T00:00:00"/>
    <x v="5"/>
    <x v="12"/>
    <n v="11960.8"/>
    <n v="80"/>
    <x v="0"/>
    <x v="3"/>
    <n v="8"/>
  </r>
  <r>
    <x v="639"/>
    <s v="Michael Garcia"/>
    <n v="68"/>
    <x v="0"/>
    <x v="422"/>
    <d v="2024-09-03T00:00:00"/>
    <x v="2"/>
    <x v="8"/>
    <n v="1174.7"/>
    <n v="90"/>
    <x v="1"/>
    <x v="1"/>
    <n v="1"/>
  </r>
  <r>
    <x v="640"/>
    <s v="Kenneth Lee"/>
    <n v="41"/>
    <x v="0"/>
    <x v="423"/>
    <d v="2024-01-30T00:00:00"/>
    <x v="2"/>
    <x v="33"/>
    <n v="6487.34"/>
    <n v="80"/>
    <x v="0"/>
    <x v="3"/>
    <n v="7"/>
  </r>
  <r>
    <x v="641"/>
    <s v="Anthony Moore"/>
    <n v="40"/>
    <x v="0"/>
    <x v="65"/>
    <d v="2025-04-07T00:00:00"/>
    <x v="1"/>
    <x v="36"/>
    <n v="3282.55"/>
    <n v="70"/>
    <x v="1"/>
    <x v="3"/>
    <n v="2"/>
  </r>
  <r>
    <x v="642"/>
    <s v="Ashley Jones"/>
    <n v="55"/>
    <x v="1"/>
    <x v="198"/>
    <d v="2025-03-06T00:00:00"/>
    <x v="4"/>
    <x v="14"/>
    <n v="13468.92"/>
    <n v="80"/>
    <x v="0"/>
    <x v="0"/>
    <n v="6"/>
  </r>
  <r>
    <x v="643"/>
    <s v="Thomas Thompson"/>
    <n v="76"/>
    <x v="0"/>
    <x v="230"/>
    <d v="2025-08-04T00:00:00"/>
    <x v="0"/>
    <x v="0"/>
    <n v="7431.19"/>
    <n v="80"/>
    <x v="1"/>
    <x v="1"/>
    <n v="5"/>
  </r>
  <r>
    <x v="644"/>
    <s v="Nancy Davis"/>
    <n v="77"/>
    <x v="1"/>
    <x v="88"/>
    <d v="2024-11-20T00:00:00"/>
    <x v="5"/>
    <x v="17"/>
    <n v="4416.84"/>
    <n v="80"/>
    <x v="2"/>
    <x v="1"/>
    <n v="4"/>
  </r>
  <r>
    <x v="645"/>
    <s v="Michael Johnson"/>
    <n v="77"/>
    <x v="0"/>
    <x v="10"/>
    <d v="2025-11-07T00:00:00"/>
    <x v="1"/>
    <x v="2"/>
    <n v="1265.79"/>
    <n v="80"/>
    <x v="1"/>
    <x v="1"/>
    <n v="1"/>
  </r>
  <r>
    <x v="646"/>
    <s v="Linda Davis"/>
    <n v="47"/>
    <x v="1"/>
    <x v="184"/>
    <d v="2024-08-10T00:00:00"/>
    <x v="2"/>
    <x v="21"/>
    <n v="7496.19"/>
    <n v="80"/>
    <x v="0"/>
    <x v="3"/>
    <n v="5"/>
  </r>
  <r>
    <x v="647"/>
    <s v="Jennifer Jackson"/>
    <n v="46"/>
    <x v="1"/>
    <x v="424"/>
    <d v="2024-04-03T00:00:00"/>
    <x v="2"/>
    <x v="5"/>
    <n v="5991.42"/>
    <n v="100"/>
    <x v="2"/>
    <x v="3"/>
    <n v="4"/>
  </r>
  <r>
    <x v="648"/>
    <s v="Thomas Jones"/>
    <n v="62"/>
    <x v="0"/>
    <x v="315"/>
    <d v="2024-05-26T00:00:00"/>
    <x v="0"/>
    <x v="0"/>
    <n v="12878.2"/>
    <n v="80"/>
    <x v="0"/>
    <x v="0"/>
    <n v="10"/>
  </r>
  <r>
    <x v="649"/>
    <s v="Steven Walker"/>
    <n v="5"/>
    <x v="0"/>
    <x v="425"/>
    <d v="2025-12-21T00:00:00"/>
    <x v="3"/>
    <x v="25"/>
    <n v="4752.84"/>
    <n v="80"/>
    <x v="0"/>
    <x v="4"/>
    <n v="4"/>
  </r>
  <r>
    <x v="650"/>
    <s v="Thomas Robinson"/>
    <n v="34"/>
    <x v="0"/>
    <x v="56"/>
    <d v="2024-05-24T00:00:00"/>
    <x v="2"/>
    <x v="10"/>
    <n v="1394.75"/>
    <n v="0"/>
    <x v="1"/>
    <x v="2"/>
    <n v="1"/>
  </r>
  <r>
    <x v="651"/>
    <s v="Michael Thomas"/>
    <n v="59"/>
    <x v="0"/>
    <x v="273"/>
    <d v="2024-08-23T00:00:00"/>
    <x v="1"/>
    <x v="3"/>
    <n v="3366.33"/>
    <n v="70"/>
    <x v="1"/>
    <x v="0"/>
    <n v="2"/>
  </r>
  <r>
    <x v="652"/>
    <s v="Sarah Young"/>
    <n v="65"/>
    <x v="1"/>
    <x v="84"/>
    <d v="2024-10-30T00:00:00"/>
    <x v="0"/>
    <x v="1"/>
    <n v="9890.23"/>
    <n v="80"/>
    <x v="0"/>
    <x v="0"/>
    <n v="6"/>
  </r>
  <r>
    <x v="653"/>
    <s v="David Wilson"/>
    <n v="44"/>
    <x v="0"/>
    <x v="426"/>
    <d v="2024-04-01T00:00:00"/>
    <x v="0"/>
    <x v="0"/>
    <n v="10351.120000000001"/>
    <n v="80"/>
    <x v="1"/>
    <x v="3"/>
    <n v="4"/>
  </r>
  <r>
    <x v="654"/>
    <s v="Steven Walker"/>
    <n v="17"/>
    <x v="0"/>
    <x v="427"/>
    <d v="2025-10-26T00:00:00"/>
    <x v="3"/>
    <x v="9"/>
    <n v="836.96"/>
    <n v="70"/>
    <x v="0"/>
    <x v="4"/>
    <n v="1"/>
  </r>
  <r>
    <x v="655"/>
    <s v="Dorothy Perez"/>
    <n v="16"/>
    <x v="1"/>
    <x v="140"/>
    <d v="2024-07-28T00:00:00"/>
    <x v="3"/>
    <x v="22"/>
    <n v="6886.9"/>
    <n v="50"/>
    <x v="1"/>
    <x v="4"/>
    <n v="5"/>
  </r>
  <r>
    <x v="656"/>
    <s v="Kenneth Perez"/>
    <n v="3"/>
    <x v="0"/>
    <x v="428"/>
    <d v="2024-04-11T00:00:00"/>
    <x v="3"/>
    <x v="24"/>
    <n v="7993.91"/>
    <n v="90"/>
    <x v="2"/>
    <x v="4"/>
    <n v="5"/>
  </r>
  <r>
    <x v="657"/>
    <s v="Richard Moore"/>
    <n v="79"/>
    <x v="0"/>
    <x v="142"/>
    <d v="2025-10-03T00:00:00"/>
    <x v="2"/>
    <x v="10"/>
    <n v="9475.6200000000008"/>
    <n v="90"/>
    <x v="0"/>
    <x v="1"/>
    <n v="7"/>
  </r>
  <r>
    <x v="658"/>
    <s v="Kenneth Davis"/>
    <n v="10"/>
    <x v="0"/>
    <x v="357"/>
    <d v="2025-11-19T00:00:00"/>
    <x v="3"/>
    <x v="22"/>
    <n v="8509.42"/>
    <n v="0"/>
    <x v="0"/>
    <x v="4"/>
    <n v="5"/>
  </r>
  <r>
    <x v="659"/>
    <s v="Robert Lopez"/>
    <n v="50"/>
    <x v="0"/>
    <x v="429"/>
    <d v="2024-12-17T00:00:00"/>
    <x v="4"/>
    <x v="14"/>
    <n v="20107.36"/>
    <n v="70"/>
    <x v="0"/>
    <x v="3"/>
    <n v="8"/>
  </r>
  <r>
    <x v="660"/>
    <s v="Matthew Hernandez"/>
    <n v="29"/>
    <x v="0"/>
    <x v="178"/>
    <d v="2024-07-28T00:00:00"/>
    <x v="4"/>
    <x v="18"/>
    <n v="26732.79"/>
    <n v="80"/>
    <x v="0"/>
    <x v="2"/>
    <n v="10"/>
  </r>
  <r>
    <x v="661"/>
    <s v="Christopher Thompson"/>
    <n v="27"/>
    <x v="0"/>
    <x v="230"/>
    <d v="2025-07-31T00:00:00"/>
    <x v="1"/>
    <x v="7"/>
    <n v="2285.5"/>
    <n v="50"/>
    <x v="0"/>
    <x v="2"/>
    <n v="1"/>
  </r>
  <r>
    <x v="662"/>
    <s v="Sarah Williams"/>
    <n v="11"/>
    <x v="1"/>
    <x v="430"/>
    <d v="2024-05-10T00:00:00"/>
    <x v="3"/>
    <x v="9"/>
    <n v="3830.25"/>
    <n v="90"/>
    <x v="1"/>
    <x v="4"/>
    <n v="4"/>
  </r>
  <r>
    <x v="663"/>
    <s v="Donna Brown"/>
    <n v="17"/>
    <x v="1"/>
    <x v="354"/>
    <d v="2024-05-31T00:00:00"/>
    <x v="3"/>
    <x v="24"/>
    <n v="3322.2"/>
    <n v="60"/>
    <x v="0"/>
    <x v="4"/>
    <n v="5"/>
  </r>
  <r>
    <x v="664"/>
    <s v="Carol Smith"/>
    <n v="42"/>
    <x v="1"/>
    <x v="172"/>
    <d v="2024-10-28T00:00:00"/>
    <x v="0"/>
    <x v="6"/>
    <n v="16467.43"/>
    <n v="70"/>
    <x v="0"/>
    <x v="3"/>
    <n v="8"/>
  </r>
  <r>
    <x v="665"/>
    <s v="Karen Martinez"/>
    <n v="57"/>
    <x v="1"/>
    <x v="347"/>
    <d v="2024-07-09T00:00:00"/>
    <x v="4"/>
    <x v="26"/>
    <n v="11600.46"/>
    <n v="100"/>
    <x v="0"/>
    <x v="0"/>
    <n v="5"/>
  </r>
  <r>
    <x v="666"/>
    <s v="Brian Perez"/>
    <n v="64"/>
    <x v="0"/>
    <x v="431"/>
    <d v="2024-02-22T00:00:00"/>
    <x v="5"/>
    <x v="28"/>
    <n v="15327.29"/>
    <n v="80"/>
    <x v="0"/>
    <x v="0"/>
    <n v="10"/>
  </r>
  <r>
    <x v="667"/>
    <s v="Kenneth Wilson"/>
    <n v="47"/>
    <x v="0"/>
    <x v="18"/>
    <d v="2024-12-30T00:00:00"/>
    <x v="2"/>
    <x v="10"/>
    <n v="6289.07"/>
    <n v="100"/>
    <x v="1"/>
    <x v="3"/>
    <n v="7"/>
  </r>
  <r>
    <x v="668"/>
    <s v="Michelle Anderson"/>
    <n v="45"/>
    <x v="1"/>
    <x v="361"/>
    <d v="2025-01-07T00:00:00"/>
    <x v="5"/>
    <x v="35"/>
    <n v="4517.8599999999997"/>
    <n v="80"/>
    <x v="1"/>
    <x v="3"/>
    <n v="3"/>
  </r>
  <r>
    <x v="669"/>
    <s v="Kimberly Clark"/>
    <n v="13"/>
    <x v="1"/>
    <x v="432"/>
    <d v="2024-07-22T00:00:00"/>
    <x v="3"/>
    <x v="23"/>
    <n v="3226.45"/>
    <n v="90"/>
    <x v="0"/>
    <x v="4"/>
    <n v="2"/>
  </r>
  <r>
    <x v="670"/>
    <s v="Elizabeth Harris"/>
    <n v="2"/>
    <x v="1"/>
    <x v="433"/>
    <d v="2024-03-20T00:00:00"/>
    <x v="3"/>
    <x v="37"/>
    <n v="1704.46"/>
    <n v="60"/>
    <x v="1"/>
    <x v="4"/>
    <n v="2"/>
  </r>
  <r>
    <x v="671"/>
    <s v="Robert Clark"/>
    <n v="55"/>
    <x v="0"/>
    <x v="434"/>
    <d v="2025-07-18T00:00:00"/>
    <x v="2"/>
    <x v="16"/>
    <n v="921.05"/>
    <n v="70"/>
    <x v="2"/>
    <x v="0"/>
    <n v="1"/>
  </r>
  <r>
    <x v="672"/>
    <s v="Emily Rodriguez"/>
    <n v="78"/>
    <x v="1"/>
    <x v="435"/>
    <d v="2024-04-29T00:00:00"/>
    <x v="2"/>
    <x v="21"/>
    <n v="3751.44"/>
    <n v="80"/>
    <x v="0"/>
    <x v="1"/>
    <n v="7"/>
  </r>
  <r>
    <x v="673"/>
    <s v="James Lewis"/>
    <n v="73"/>
    <x v="0"/>
    <x v="434"/>
    <d v="2025-07-21T00:00:00"/>
    <x v="2"/>
    <x v="5"/>
    <n v="5182.1499999999996"/>
    <n v="70"/>
    <x v="2"/>
    <x v="1"/>
    <n v="4"/>
  </r>
  <r>
    <x v="674"/>
    <s v="Richard Williams"/>
    <n v="57"/>
    <x v="0"/>
    <x v="436"/>
    <d v="2025-11-10T00:00:00"/>
    <x v="0"/>
    <x v="0"/>
    <n v="13365.24"/>
    <n v="70"/>
    <x v="2"/>
    <x v="0"/>
    <n v="6"/>
  </r>
  <r>
    <x v="675"/>
    <s v="Carol Clark"/>
    <n v="75"/>
    <x v="1"/>
    <x v="412"/>
    <d v="2025-11-06T00:00:00"/>
    <x v="4"/>
    <x v="18"/>
    <n v="14351.59"/>
    <n v="50"/>
    <x v="0"/>
    <x v="1"/>
    <n v="11"/>
  </r>
  <r>
    <x v="676"/>
    <s v="Christopher Thompson"/>
    <n v="2"/>
    <x v="0"/>
    <x v="437"/>
    <d v="2025-06-07T00:00:00"/>
    <x v="3"/>
    <x v="23"/>
    <n v="1340.39"/>
    <n v="80"/>
    <x v="2"/>
    <x v="4"/>
    <n v="1"/>
  </r>
  <r>
    <x v="677"/>
    <s v="Christopher Garcia"/>
    <n v="61"/>
    <x v="0"/>
    <x v="438"/>
    <d v="2025-09-02T00:00:00"/>
    <x v="2"/>
    <x v="33"/>
    <n v="2477.89"/>
    <n v="80"/>
    <x v="1"/>
    <x v="0"/>
    <n v="2"/>
  </r>
  <r>
    <x v="678"/>
    <s v="Elizabeth Hernandez"/>
    <n v="6"/>
    <x v="1"/>
    <x v="374"/>
    <d v="2025-11-22T00:00:00"/>
    <x v="3"/>
    <x v="25"/>
    <n v="1871.78"/>
    <n v="80"/>
    <x v="1"/>
    <x v="4"/>
    <n v="2"/>
  </r>
  <r>
    <x v="679"/>
    <s v="Elizabeth Ramirez"/>
    <n v="36"/>
    <x v="1"/>
    <x v="368"/>
    <d v="2024-07-24T00:00:00"/>
    <x v="1"/>
    <x v="31"/>
    <n v="3205.01"/>
    <n v="70"/>
    <x v="0"/>
    <x v="3"/>
    <n v="2"/>
  </r>
  <r>
    <x v="680"/>
    <s v="Ashley Clark"/>
    <n v="52"/>
    <x v="1"/>
    <x v="439"/>
    <d v="2025-03-11T00:00:00"/>
    <x v="2"/>
    <x v="8"/>
    <n v="1148.98"/>
    <n v="50"/>
    <x v="2"/>
    <x v="0"/>
    <n v="1"/>
  </r>
  <r>
    <x v="681"/>
    <s v="Nancy Thomas"/>
    <n v="6"/>
    <x v="1"/>
    <x v="20"/>
    <d v="2025-10-24T00:00:00"/>
    <x v="3"/>
    <x v="25"/>
    <n v="2502.7199999999998"/>
    <n v="80"/>
    <x v="0"/>
    <x v="4"/>
    <n v="2"/>
  </r>
  <r>
    <x v="682"/>
    <s v="Joseph Davis"/>
    <n v="68"/>
    <x v="0"/>
    <x v="440"/>
    <d v="2025-01-05T00:00:00"/>
    <x v="4"/>
    <x v="18"/>
    <n v="23367.19"/>
    <n v="80"/>
    <x v="2"/>
    <x v="1"/>
    <n v="10"/>
  </r>
  <r>
    <x v="683"/>
    <s v="Joseph White"/>
    <n v="54"/>
    <x v="0"/>
    <x v="441"/>
    <d v="2025-09-29T00:00:00"/>
    <x v="4"/>
    <x v="14"/>
    <n v="14220.87"/>
    <n v="80"/>
    <x v="0"/>
    <x v="0"/>
    <n v="12"/>
  </r>
  <r>
    <x v="684"/>
    <s v="Daniel Jones"/>
    <n v="7"/>
    <x v="0"/>
    <x v="169"/>
    <d v="2025-03-25T00:00:00"/>
    <x v="3"/>
    <x v="23"/>
    <n v="2954.11"/>
    <n v="80"/>
    <x v="0"/>
    <x v="4"/>
    <n v="3"/>
  </r>
  <r>
    <x v="685"/>
    <s v="Donna Lee"/>
    <n v="17"/>
    <x v="1"/>
    <x v="442"/>
    <d v="2025-11-24T00:00:00"/>
    <x v="3"/>
    <x v="25"/>
    <n v="609.66"/>
    <n v="90"/>
    <x v="2"/>
    <x v="4"/>
    <n v="1"/>
  </r>
  <r>
    <x v="686"/>
    <s v="Anthony Thompson"/>
    <n v="59"/>
    <x v="0"/>
    <x v="10"/>
    <d v="2025-11-10T00:00:00"/>
    <x v="4"/>
    <x v="26"/>
    <n v="8093.46"/>
    <n v="80"/>
    <x v="0"/>
    <x v="0"/>
    <n v="4"/>
  </r>
  <r>
    <x v="687"/>
    <s v="Paul Jackson"/>
    <n v="81"/>
    <x v="0"/>
    <x v="261"/>
    <d v="2025-03-31T00:00:00"/>
    <x v="1"/>
    <x v="36"/>
    <n v="2072.19"/>
    <n v="60"/>
    <x v="2"/>
    <x v="1"/>
    <n v="1"/>
  </r>
  <r>
    <x v="688"/>
    <s v="Ashley Garcia"/>
    <n v="21"/>
    <x v="1"/>
    <x v="14"/>
    <d v="2025-12-14T00:00:00"/>
    <x v="1"/>
    <x v="15"/>
    <n v="1895.35"/>
    <n v="50"/>
    <x v="1"/>
    <x v="2"/>
    <n v="2"/>
  </r>
  <r>
    <x v="689"/>
    <s v="Thomas Lee"/>
    <n v="32"/>
    <x v="0"/>
    <x v="206"/>
    <d v="2025-12-05T00:00:00"/>
    <x v="2"/>
    <x v="5"/>
    <n v="1195.19"/>
    <n v="100"/>
    <x v="0"/>
    <x v="2"/>
    <n v="1"/>
  </r>
  <r>
    <x v="690"/>
    <s v="David Martinez"/>
    <n v="59"/>
    <x v="0"/>
    <x v="443"/>
    <d v="2025-10-26T00:00:00"/>
    <x v="1"/>
    <x v="7"/>
    <n v="6880.53"/>
    <n v="90"/>
    <x v="1"/>
    <x v="0"/>
    <n v="3"/>
  </r>
  <r>
    <x v="691"/>
    <s v="Mary Johnson"/>
    <n v="3"/>
    <x v="1"/>
    <x v="55"/>
    <d v="2025-05-10T00:00:00"/>
    <x v="3"/>
    <x v="9"/>
    <n v="8731.85"/>
    <n v="100"/>
    <x v="1"/>
    <x v="4"/>
    <n v="5"/>
  </r>
  <r>
    <x v="692"/>
    <s v="Betty Ramirez"/>
    <n v="71"/>
    <x v="1"/>
    <x v="444"/>
    <d v="2025-01-22T00:00:00"/>
    <x v="5"/>
    <x v="34"/>
    <n v="10575.02"/>
    <n v="70"/>
    <x v="1"/>
    <x v="1"/>
    <n v="6"/>
  </r>
  <r>
    <x v="693"/>
    <s v="Carol Anderson"/>
    <n v="46"/>
    <x v="1"/>
    <x v="445"/>
    <d v="2024-12-22T00:00:00"/>
    <x v="2"/>
    <x v="16"/>
    <n v="1975.02"/>
    <n v="90"/>
    <x v="2"/>
    <x v="3"/>
    <n v="3"/>
  </r>
  <r>
    <x v="694"/>
    <s v="Kenneth Rodriguez"/>
    <n v="47"/>
    <x v="0"/>
    <x v="276"/>
    <d v="2024-04-24T00:00:00"/>
    <x v="4"/>
    <x v="27"/>
    <n v="14406.87"/>
    <n v="100"/>
    <x v="1"/>
    <x v="3"/>
    <n v="8"/>
  </r>
  <r>
    <x v="695"/>
    <s v="Karen Thomas"/>
    <n v="79"/>
    <x v="1"/>
    <x v="103"/>
    <d v="2025-09-17T00:00:00"/>
    <x v="0"/>
    <x v="29"/>
    <n v="10285.16"/>
    <n v="80"/>
    <x v="2"/>
    <x v="1"/>
    <n v="5"/>
  </r>
  <r>
    <x v="696"/>
    <s v="Matthew Lewis"/>
    <n v="14"/>
    <x v="0"/>
    <x v="428"/>
    <d v="2024-04-07T00:00:00"/>
    <x v="3"/>
    <x v="9"/>
    <n v="730.74"/>
    <n v="0"/>
    <x v="2"/>
    <x v="4"/>
    <n v="1"/>
  </r>
  <r>
    <x v="697"/>
    <s v="Anthony Taylor"/>
    <n v="30"/>
    <x v="0"/>
    <x v="270"/>
    <d v="2025-10-13T00:00:00"/>
    <x v="4"/>
    <x v="27"/>
    <n v="12841.02"/>
    <n v="70"/>
    <x v="0"/>
    <x v="2"/>
    <n v="6"/>
  </r>
  <r>
    <x v="698"/>
    <s v="Michael Young"/>
    <n v="71"/>
    <x v="0"/>
    <x v="446"/>
    <d v="2024-03-17T00:00:00"/>
    <x v="5"/>
    <x v="35"/>
    <n v="3969.91"/>
    <n v="90"/>
    <x v="0"/>
    <x v="1"/>
    <n v="3"/>
  </r>
  <r>
    <x v="699"/>
    <s v="Joshua Brown"/>
    <n v="47"/>
    <x v="0"/>
    <x v="363"/>
    <d v="2025-09-13T00:00:00"/>
    <x v="2"/>
    <x v="4"/>
    <n v="3558.48"/>
    <n v="90"/>
    <x v="1"/>
    <x v="3"/>
    <n v="3"/>
  </r>
  <r>
    <x v="700"/>
    <s v="Richard Johnson"/>
    <n v="35"/>
    <x v="0"/>
    <x v="135"/>
    <d v="2024-12-23T00:00:00"/>
    <x v="1"/>
    <x v="3"/>
    <n v="2492.36"/>
    <n v="90"/>
    <x v="2"/>
    <x v="2"/>
    <n v="2"/>
  </r>
  <r>
    <x v="701"/>
    <s v="Richard Garcia"/>
    <n v="64"/>
    <x v="0"/>
    <x v="65"/>
    <d v="2025-04-08T00:00:00"/>
    <x v="2"/>
    <x v="33"/>
    <n v="2931.95"/>
    <n v="100"/>
    <x v="0"/>
    <x v="0"/>
    <n v="3"/>
  </r>
  <r>
    <x v="702"/>
    <s v="Nancy Brown"/>
    <n v="39"/>
    <x v="1"/>
    <x v="224"/>
    <d v="2024-12-10T00:00:00"/>
    <x v="1"/>
    <x v="31"/>
    <n v="3264.79"/>
    <n v="70"/>
    <x v="0"/>
    <x v="3"/>
    <n v="2"/>
  </r>
  <r>
    <x v="703"/>
    <s v="Thomas Wilson"/>
    <n v="65"/>
    <x v="0"/>
    <x v="242"/>
    <d v="2026-01-01T00:00:00"/>
    <x v="2"/>
    <x v="16"/>
    <n v="5976.06"/>
    <n v="70"/>
    <x v="1"/>
    <x v="0"/>
    <n v="4"/>
  </r>
  <r>
    <x v="704"/>
    <s v="Donna Ramirez"/>
    <n v="85"/>
    <x v="1"/>
    <x v="447"/>
    <d v="2025-03-27T00:00:00"/>
    <x v="2"/>
    <x v="4"/>
    <n v="1133.0999999999999"/>
    <n v="70"/>
    <x v="1"/>
    <x v="1"/>
    <n v="1"/>
  </r>
  <r>
    <x v="705"/>
    <s v="Anthony Moore"/>
    <n v="85"/>
    <x v="0"/>
    <x v="448"/>
    <d v="2025-08-30T00:00:00"/>
    <x v="1"/>
    <x v="31"/>
    <n v="4676.38"/>
    <n v="90"/>
    <x v="0"/>
    <x v="1"/>
    <n v="2"/>
  </r>
  <r>
    <x v="706"/>
    <s v="Anthony Jackson"/>
    <n v="72"/>
    <x v="0"/>
    <x v="449"/>
    <d v="2025-01-09T00:00:00"/>
    <x v="1"/>
    <x v="31"/>
    <n v="2041.86"/>
    <n v="90"/>
    <x v="0"/>
    <x v="1"/>
    <n v="2"/>
  </r>
  <r>
    <x v="707"/>
    <s v="Lisa Lee"/>
    <n v="40"/>
    <x v="1"/>
    <x v="368"/>
    <d v="2024-07-28T00:00:00"/>
    <x v="0"/>
    <x v="29"/>
    <n v="11703.16"/>
    <n v="90"/>
    <x v="0"/>
    <x v="3"/>
    <n v="6"/>
  </r>
  <r>
    <x v="708"/>
    <s v="Donna Jones"/>
    <n v="6"/>
    <x v="1"/>
    <x v="60"/>
    <d v="2025-10-13T00:00:00"/>
    <x v="3"/>
    <x v="25"/>
    <n v="1336.01"/>
    <n v="80"/>
    <x v="1"/>
    <x v="4"/>
    <n v="1"/>
  </r>
  <r>
    <x v="709"/>
    <s v="Thomas Smith"/>
    <n v="81"/>
    <x v="0"/>
    <x v="392"/>
    <d v="2025-05-08T00:00:00"/>
    <x v="0"/>
    <x v="0"/>
    <n v="21413.919999999998"/>
    <n v="80"/>
    <x v="0"/>
    <x v="1"/>
    <n v="8"/>
  </r>
  <r>
    <x v="710"/>
    <s v="Nancy Davis"/>
    <n v="56"/>
    <x v="1"/>
    <x v="400"/>
    <d v="2024-12-30T00:00:00"/>
    <x v="1"/>
    <x v="32"/>
    <n v="4020.17"/>
    <n v="80"/>
    <x v="2"/>
    <x v="0"/>
    <n v="2"/>
  </r>
  <r>
    <x v="711"/>
    <s v="Karen Lee"/>
    <n v="66"/>
    <x v="1"/>
    <x v="126"/>
    <d v="2024-07-04T00:00:00"/>
    <x v="4"/>
    <x v="14"/>
    <n v="28053.05"/>
    <n v="80"/>
    <x v="0"/>
    <x v="5"/>
    <n v="12"/>
  </r>
  <r>
    <x v="712"/>
    <s v="Michelle Harris"/>
    <n v="34"/>
    <x v="1"/>
    <x v="450"/>
    <d v="2024-10-04T00:00:00"/>
    <x v="5"/>
    <x v="35"/>
    <n v="23948.97"/>
    <n v="100"/>
    <x v="0"/>
    <x v="2"/>
    <n v="11"/>
  </r>
  <r>
    <x v="713"/>
    <s v="David Young"/>
    <n v="84"/>
    <x v="0"/>
    <x v="402"/>
    <d v="2025-04-03T00:00:00"/>
    <x v="0"/>
    <x v="19"/>
    <n v="23623.51"/>
    <n v="90"/>
    <x v="1"/>
    <x v="1"/>
    <n v="9"/>
  </r>
  <r>
    <x v="714"/>
    <s v="James Ramirez"/>
    <n v="34"/>
    <x v="0"/>
    <x v="410"/>
    <d v="2025-08-31T00:00:00"/>
    <x v="5"/>
    <x v="34"/>
    <n v="10445.299999999999"/>
    <n v="60"/>
    <x v="2"/>
    <x v="2"/>
    <n v="6"/>
  </r>
  <r>
    <x v="715"/>
    <s v="Mark White"/>
    <n v="51"/>
    <x v="0"/>
    <x v="164"/>
    <d v="2025-08-29T00:00:00"/>
    <x v="4"/>
    <x v="13"/>
    <n v="19007.18"/>
    <n v="70"/>
    <x v="0"/>
    <x v="0"/>
    <n v="7"/>
  </r>
  <r>
    <x v="716"/>
    <s v="David Jones"/>
    <n v="43"/>
    <x v="0"/>
    <x v="451"/>
    <d v="2025-05-16T00:00:00"/>
    <x v="1"/>
    <x v="2"/>
    <n v="2458.7600000000002"/>
    <n v="90"/>
    <x v="0"/>
    <x v="3"/>
    <n v="3"/>
  </r>
  <r>
    <x v="717"/>
    <s v="Brian Moore"/>
    <n v="32"/>
    <x v="0"/>
    <x v="162"/>
    <d v="2025-01-29T00:00:00"/>
    <x v="4"/>
    <x v="27"/>
    <n v="14632.49"/>
    <n v="60"/>
    <x v="2"/>
    <x v="2"/>
    <n v="8"/>
  </r>
  <r>
    <x v="718"/>
    <s v="Susan Perez"/>
    <n v="34"/>
    <x v="1"/>
    <x v="452"/>
    <d v="2025-03-29T00:00:00"/>
    <x v="2"/>
    <x v="10"/>
    <n v="2891.81"/>
    <n v="80"/>
    <x v="0"/>
    <x v="2"/>
    <n v="5"/>
  </r>
  <r>
    <x v="719"/>
    <s v="Linda Davis"/>
    <n v="54"/>
    <x v="1"/>
    <x v="453"/>
    <d v="2024-09-19T00:00:00"/>
    <x v="0"/>
    <x v="20"/>
    <n v="8029.13"/>
    <n v="80"/>
    <x v="1"/>
    <x v="0"/>
    <n v="3"/>
  </r>
  <r>
    <x v="720"/>
    <s v="Matthew Wilson"/>
    <n v="45"/>
    <x v="0"/>
    <x v="259"/>
    <d v="2025-11-13T00:00:00"/>
    <x v="2"/>
    <x v="5"/>
    <n v="858.67"/>
    <n v="80"/>
    <x v="0"/>
    <x v="3"/>
    <n v="1"/>
  </r>
  <r>
    <x v="721"/>
    <s v="Steven Perez"/>
    <n v="16"/>
    <x v="0"/>
    <x v="190"/>
    <d v="2025-11-19T00:00:00"/>
    <x v="3"/>
    <x v="37"/>
    <n v="3460.07"/>
    <n v="100"/>
    <x v="1"/>
    <x v="4"/>
    <n v="2"/>
  </r>
  <r>
    <x v="722"/>
    <s v="Brian Harris"/>
    <n v="48"/>
    <x v="0"/>
    <x v="454"/>
    <d v="2025-08-17T00:00:00"/>
    <x v="2"/>
    <x v="16"/>
    <n v="7776.12"/>
    <n v="60"/>
    <x v="1"/>
    <x v="3"/>
    <n v="7"/>
  </r>
  <r>
    <x v="723"/>
    <s v="Brian Lewis"/>
    <n v="69"/>
    <x v="0"/>
    <x v="364"/>
    <d v="2024-04-30T00:00:00"/>
    <x v="1"/>
    <x v="3"/>
    <n v="4547.8500000000004"/>
    <n v="70"/>
    <x v="2"/>
    <x v="1"/>
    <n v="2"/>
  </r>
  <r>
    <x v="724"/>
    <s v="Emily White"/>
    <n v="68"/>
    <x v="1"/>
    <x v="241"/>
    <d v="2024-04-18T00:00:00"/>
    <x v="0"/>
    <x v="6"/>
    <n v="11509.91"/>
    <n v="0"/>
    <x v="1"/>
    <x v="1"/>
    <n v="5"/>
  </r>
  <r>
    <x v="725"/>
    <s v="Michelle Thomas"/>
    <n v="22"/>
    <x v="1"/>
    <x v="407"/>
    <d v="2024-06-13T00:00:00"/>
    <x v="1"/>
    <x v="32"/>
    <n v="2402.42"/>
    <n v="100"/>
    <x v="0"/>
    <x v="2"/>
    <n v="3"/>
  </r>
  <r>
    <x v="726"/>
    <s v="Robert Garcia"/>
    <n v="15"/>
    <x v="0"/>
    <x v="167"/>
    <d v="2024-03-05T00:00:00"/>
    <x v="3"/>
    <x v="9"/>
    <n v="4108.03"/>
    <n v="80"/>
    <x v="0"/>
    <x v="4"/>
    <n v="4"/>
  </r>
  <r>
    <x v="727"/>
    <s v="Lisa Miller"/>
    <n v="48"/>
    <x v="1"/>
    <x v="455"/>
    <d v="2025-01-23T00:00:00"/>
    <x v="2"/>
    <x v="16"/>
    <n v="3552.94"/>
    <n v="80"/>
    <x v="1"/>
    <x v="3"/>
    <n v="6"/>
  </r>
  <r>
    <x v="728"/>
    <s v="Ashley Martinez"/>
    <n v="85"/>
    <x v="1"/>
    <x v="456"/>
    <d v="2024-08-20T00:00:00"/>
    <x v="1"/>
    <x v="7"/>
    <n v="2872.72"/>
    <n v="50"/>
    <x v="1"/>
    <x v="1"/>
    <n v="3"/>
  </r>
  <r>
    <x v="729"/>
    <s v="James Perez"/>
    <n v="49"/>
    <x v="0"/>
    <x v="53"/>
    <d v="2024-11-20T00:00:00"/>
    <x v="4"/>
    <x v="11"/>
    <n v="8897.51"/>
    <n v="80"/>
    <x v="0"/>
    <x v="3"/>
    <n v="8"/>
  </r>
  <r>
    <x v="730"/>
    <s v="Carol Robinson"/>
    <n v="10"/>
    <x v="1"/>
    <x v="391"/>
    <d v="2024-04-28T00:00:00"/>
    <x v="3"/>
    <x v="24"/>
    <n v="3469.08"/>
    <n v="80"/>
    <x v="0"/>
    <x v="4"/>
    <n v="3"/>
  </r>
  <r>
    <x v="731"/>
    <s v="Andrew Clark"/>
    <n v="47"/>
    <x v="0"/>
    <x v="161"/>
    <d v="2024-01-15T00:00:00"/>
    <x v="0"/>
    <x v="1"/>
    <n v="8778.52"/>
    <n v="80"/>
    <x v="1"/>
    <x v="3"/>
    <n v="6"/>
  </r>
  <r>
    <x v="732"/>
    <s v="Mark Brown"/>
    <n v="66"/>
    <x v="0"/>
    <x v="457"/>
    <d v="2024-06-20T00:00:00"/>
    <x v="4"/>
    <x v="26"/>
    <n v="38501.9"/>
    <n v="80"/>
    <x v="0"/>
    <x v="5"/>
    <n v="14"/>
  </r>
  <r>
    <x v="733"/>
    <s v="Andrew Martinez"/>
    <n v="43"/>
    <x v="0"/>
    <x v="458"/>
    <d v="2025-12-27T00:00:00"/>
    <x v="2"/>
    <x v="33"/>
    <n v="1693.89"/>
    <n v="80"/>
    <x v="0"/>
    <x v="3"/>
    <n v="2"/>
  </r>
  <r>
    <x v="734"/>
    <s v="William Walker"/>
    <n v="29"/>
    <x v="0"/>
    <x v="459"/>
    <d v="2024-05-29T00:00:00"/>
    <x v="1"/>
    <x v="15"/>
    <n v="1250.03"/>
    <n v="80"/>
    <x v="0"/>
    <x v="2"/>
    <n v="1"/>
  </r>
  <r>
    <x v="735"/>
    <s v="Dorothy Ramirez"/>
    <n v="76"/>
    <x v="1"/>
    <x v="460"/>
    <d v="2024-10-13T00:00:00"/>
    <x v="1"/>
    <x v="32"/>
    <n v="2286.5500000000002"/>
    <n v="90"/>
    <x v="2"/>
    <x v="1"/>
    <n v="1"/>
  </r>
  <r>
    <x v="736"/>
    <s v="Christopher White"/>
    <n v="70"/>
    <x v="0"/>
    <x v="349"/>
    <d v="2024-08-01T00:00:00"/>
    <x v="1"/>
    <x v="32"/>
    <n v="1516.2"/>
    <n v="80"/>
    <x v="0"/>
    <x v="1"/>
    <n v="1"/>
  </r>
  <r>
    <x v="737"/>
    <s v="Sarah Garcia"/>
    <n v="79"/>
    <x v="1"/>
    <x v="76"/>
    <d v="2025-01-12T00:00:00"/>
    <x v="0"/>
    <x v="0"/>
    <n v="24161.06"/>
    <n v="100"/>
    <x v="0"/>
    <x v="1"/>
    <n v="10"/>
  </r>
  <r>
    <x v="738"/>
    <s v="Ashley Thompson"/>
    <n v="76"/>
    <x v="1"/>
    <x v="204"/>
    <d v="2024-12-27T00:00:00"/>
    <x v="1"/>
    <x v="7"/>
    <n v="5162.18"/>
    <n v="90"/>
    <x v="2"/>
    <x v="1"/>
    <n v="3"/>
  </r>
  <r>
    <x v="739"/>
    <s v="Thomas Young"/>
    <n v="27"/>
    <x v="0"/>
    <x v="389"/>
    <d v="2025-03-21T00:00:00"/>
    <x v="4"/>
    <x v="26"/>
    <n v="22371.56"/>
    <n v="80"/>
    <x v="0"/>
    <x v="2"/>
    <n v="13"/>
  </r>
  <r>
    <x v="740"/>
    <s v="Elizabeth Jackson"/>
    <n v="82"/>
    <x v="1"/>
    <x v="283"/>
    <d v="2024-10-28T00:00:00"/>
    <x v="1"/>
    <x v="15"/>
    <n v="1865.06"/>
    <n v="80"/>
    <x v="0"/>
    <x v="1"/>
    <n v="1"/>
  </r>
  <r>
    <x v="741"/>
    <s v="Joseph Martinez"/>
    <n v="71"/>
    <x v="0"/>
    <x v="450"/>
    <d v="2024-09-26T00:00:00"/>
    <x v="0"/>
    <x v="29"/>
    <n v="7640.58"/>
    <n v="80"/>
    <x v="2"/>
    <x v="1"/>
    <n v="3"/>
  </r>
  <r>
    <x v="742"/>
    <s v="Karen Williams"/>
    <n v="69"/>
    <x v="1"/>
    <x v="461"/>
    <d v="2025-02-02T00:00:00"/>
    <x v="2"/>
    <x v="5"/>
    <n v="2892.4"/>
    <n v="50"/>
    <x v="0"/>
    <x v="1"/>
    <n v="2"/>
  </r>
  <r>
    <x v="743"/>
    <s v="Richard Rodriguez"/>
    <n v="32"/>
    <x v="0"/>
    <x v="204"/>
    <d v="2024-12-31T00:00:00"/>
    <x v="5"/>
    <x v="12"/>
    <n v="9495.5300000000007"/>
    <n v="100"/>
    <x v="1"/>
    <x v="2"/>
    <n v="7"/>
  </r>
  <r>
    <x v="744"/>
    <s v="Ashley Rodriguez"/>
    <n v="29"/>
    <x v="1"/>
    <x v="238"/>
    <d v="2024-09-25T00:00:00"/>
    <x v="1"/>
    <x v="3"/>
    <n v="870.1"/>
    <n v="80"/>
    <x v="0"/>
    <x v="2"/>
    <n v="1"/>
  </r>
  <r>
    <x v="745"/>
    <s v="Sarah Davis"/>
    <n v="76"/>
    <x v="1"/>
    <x v="462"/>
    <d v="2024-01-16T00:00:00"/>
    <x v="2"/>
    <x v="4"/>
    <n v="1437.06"/>
    <n v="70"/>
    <x v="1"/>
    <x v="1"/>
    <n v="1"/>
  </r>
  <r>
    <x v="746"/>
    <s v="Sarah Perez"/>
    <n v="53"/>
    <x v="1"/>
    <x v="249"/>
    <d v="2024-08-20T00:00:00"/>
    <x v="2"/>
    <x v="10"/>
    <n v="2735.83"/>
    <n v="90"/>
    <x v="1"/>
    <x v="0"/>
    <n v="5"/>
  </r>
  <r>
    <x v="747"/>
    <s v="Kenneth Wilson"/>
    <n v="27"/>
    <x v="0"/>
    <x v="463"/>
    <d v="2024-12-03T00:00:00"/>
    <x v="1"/>
    <x v="2"/>
    <n v="1879.03"/>
    <n v="100"/>
    <x v="0"/>
    <x v="2"/>
    <n v="1"/>
  </r>
  <r>
    <x v="748"/>
    <s v="Ashley Martinez"/>
    <n v="11"/>
    <x v="1"/>
    <x v="333"/>
    <d v="2024-07-13T00:00:00"/>
    <x v="3"/>
    <x v="25"/>
    <n v="4685.1499999999996"/>
    <n v="70"/>
    <x v="2"/>
    <x v="4"/>
    <n v="4"/>
  </r>
  <r>
    <x v="749"/>
    <s v="Richard Rodriguez"/>
    <n v="30"/>
    <x v="0"/>
    <x v="464"/>
    <d v="2025-11-28T00:00:00"/>
    <x v="1"/>
    <x v="7"/>
    <n v="4638.3500000000004"/>
    <n v="90"/>
    <x v="2"/>
    <x v="2"/>
    <n v="2"/>
  </r>
  <r>
    <x v="750"/>
    <s v="Betty Thompson"/>
    <n v="35"/>
    <x v="1"/>
    <x v="277"/>
    <d v="2024-06-14T00:00:00"/>
    <x v="1"/>
    <x v="36"/>
    <n v="6181.48"/>
    <n v="90"/>
    <x v="0"/>
    <x v="2"/>
    <n v="3"/>
  </r>
  <r>
    <x v="751"/>
    <s v="Donna Clark"/>
    <n v="66"/>
    <x v="1"/>
    <x v="279"/>
    <d v="2025-12-08T00:00:00"/>
    <x v="5"/>
    <x v="34"/>
    <n v="10893.55"/>
    <n v="80"/>
    <x v="0"/>
    <x v="5"/>
    <n v="6"/>
  </r>
  <r>
    <x v="752"/>
    <s v="Joshua Miller"/>
    <n v="70"/>
    <x v="0"/>
    <x v="127"/>
    <d v="2024-07-12T00:00:00"/>
    <x v="2"/>
    <x v="8"/>
    <n v="5559.19"/>
    <n v="100"/>
    <x v="0"/>
    <x v="1"/>
    <n v="4"/>
  </r>
  <r>
    <x v="753"/>
    <s v="Jennifer Lewis"/>
    <n v="82"/>
    <x v="1"/>
    <x v="465"/>
    <d v="2025-08-04T00:00:00"/>
    <x v="0"/>
    <x v="29"/>
    <n v="12777.22"/>
    <n v="90"/>
    <x v="0"/>
    <x v="1"/>
    <n v="6"/>
  </r>
  <r>
    <x v="754"/>
    <s v="Karen Rodriguez"/>
    <n v="28"/>
    <x v="1"/>
    <x v="170"/>
    <d v="2024-03-12T00:00:00"/>
    <x v="1"/>
    <x v="7"/>
    <n v="824.72"/>
    <n v="80"/>
    <x v="0"/>
    <x v="2"/>
    <n v="1"/>
  </r>
  <r>
    <x v="755"/>
    <s v="Kenneth Davis"/>
    <n v="77"/>
    <x v="0"/>
    <x v="244"/>
    <d v="2025-04-01T00:00:00"/>
    <x v="5"/>
    <x v="30"/>
    <n v="7892.83"/>
    <n v="90"/>
    <x v="0"/>
    <x v="1"/>
    <n v="4"/>
  </r>
  <r>
    <x v="756"/>
    <s v="Sarah Martinez"/>
    <n v="34"/>
    <x v="1"/>
    <x v="422"/>
    <d v="2024-09-04T00:00:00"/>
    <x v="1"/>
    <x v="15"/>
    <n v="4965.79"/>
    <n v="80"/>
    <x v="0"/>
    <x v="2"/>
    <n v="2"/>
  </r>
  <r>
    <x v="757"/>
    <s v="Jennifer Taylor"/>
    <n v="8"/>
    <x v="1"/>
    <x v="23"/>
    <d v="2024-03-21T00:00:00"/>
    <x v="3"/>
    <x v="24"/>
    <n v="1380.95"/>
    <n v="70"/>
    <x v="0"/>
    <x v="4"/>
    <n v="2"/>
  </r>
  <r>
    <x v="758"/>
    <s v="Joshua Hernandez"/>
    <n v="41"/>
    <x v="0"/>
    <x v="258"/>
    <d v="2024-07-12T00:00:00"/>
    <x v="2"/>
    <x v="10"/>
    <n v="783.53"/>
    <n v="50"/>
    <x v="0"/>
    <x v="3"/>
    <n v="1"/>
  </r>
  <r>
    <x v="759"/>
    <s v="Andrew Moore"/>
    <n v="50"/>
    <x v="0"/>
    <x v="197"/>
    <d v="2025-02-15T00:00:00"/>
    <x v="2"/>
    <x v="5"/>
    <n v="644.33000000000004"/>
    <n v="50"/>
    <x v="2"/>
    <x v="3"/>
    <n v="1"/>
  </r>
  <r>
    <x v="760"/>
    <s v="Christopher Lee"/>
    <n v="64"/>
    <x v="0"/>
    <x v="62"/>
    <d v="2025-11-26T00:00:00"/>
    <x v="1"/>
    <x v="2"/>
    <n v="803.78"/>
    <n v="90"/>
    <x v="0"/>
    <x v="0"/>
    <n v="1"/>
  </r>
  <r>
    <x v="761"/>
    <s v="Andrew Robinson"/>
    <n v="32"/>
    <x v="0"/>
    <x v="108"/>
    <d v="2025-09-16T00:00:00"/>
    <x v="2"/>
    <x v="16"/>
    <n v="7286.69"/>
    <n v="80"/>
    <x v="0"/>
    <x v="2"/>
    <n v="7"/>
  </r>
  <r>
    <x v="762"/>
    <s v="Jessica Lee"/>
    <n v="47"/>
    <x v="1"/>
    <x v="466"/>
    <d v="2024-11-04T00:00:00"/>
    <x v="1"/>
    <x v="36"/>
    <n v="6520.03"/>
    <n v="80"/>
    <x v="0"/>
    <x v="3"/>
    <n v="3"/>
  </r>
  <r>
    <x v="763"/>
    <s v="Nancy Clark"/>
    <n v="46"/>
    <x v="1"/>
    <x v="467"/>
    <d v="2025-12-02T00:00:00"/>
    <x v="2"/>
    <x v="5"/>
    <n v="1101.07"/>
    <n v="70"/>
    <x v="1"/>
    <x v="3"/>
    <n v="1"/>
  </r>
  <r>
    <x v="764"/>
    <s v="Karen Ramirez"/>
    <n v="48"/>
    <x v="1"/>
    <x v="134"/>
    <d v="2025-09-14T00:00:00"/>
    <x v="0"/>
    <x v="1"/>
    <n v="15930.98"/>
    <n v="80"/>
    <x v="0"/>
    <x v="3"/>
    <n v="10"/>
  </r>
  <r>
    <x v="765"/>
    <s v="James Johnson"/>
    <n v="47"/>
    <x v="0"/>
    <x v="468"/>
    <d v="2024-09-29T00:00:00"/>
    <x v="2"/>
    <x v="21"/>
    <n v="6394.95"/>
    <n v="100"/>
    <x v="2"/>
    <x v="3"/>
    <n v="7"/>
  </r>
  <r>
    <x v="766"/>
    <s v="David Wilson"/>
    <n v="18"/>
    <x v="0"/>
    <x v="299"/>
    <d v="2024-01-03T00:00:00"/>
    <x v="2"/>
    <x v="8"/>
    <n v="2803.03"/>
    <n v="90"/>
    <x v="0"/>
    <x v="2"/>
    <n v="2"/>
  </r>
  <r>
    <x v="767"/>
    <s v="James Walker"/>
    <n v="41"/>
    <x v="0"/>
    <x v="469"/>
    <d v="2024-01-28T00:00:00"/>
    <x v="5"/>
    <x v="12"/>
    <n v="4689.5200000000004"/>
    <n v="80"/>
    <x v="0"/>
    <x v="3"/>
    <n v="3"/>
  </r>
  <r>
    <x v="768"/>
    <s v="Donna Thompson"/>
    <n v="67"/>
    <x v="1"/>
    <x v="144"/>
    <d v="2024-08-20T00:00:00"/>
    <x v="5"/>
    <x v="35"/>
    <n v="13724.66"/>
    <n v="80"/>
    <x v="0"/>
    <x v="1"/>
    <n v="10"/>
  </r>
  <r>
    <x v="769"/>
    <s v="Matthew Brown"/>
    <n v="74"/>
    <x v="0"/>
    <x v="470"/>
    <d v="2025-02-24T00:00:00"/>
    <x v="0"/>
    <x v="6"/>
    <n v="9130.48"/>
    <n v="60"/>
    <x v="2"/>
    <x v="1"/>
    <n v="4"/>
  </r>
  <r>
    <x v="770"/>
    <s v="Ashley Jones"/>
    <n v="32"/>
    <x v="1"/>
    <x v="98"/>
    <d v="2024-04-21T00:00:00"/>
    <x v="1"/>
    <x v="36"/>
    <n v="2383.8000000000002"/>
    <n v="70"/>
    <x v="0"/>
    <x v="2"/>
    <n v="1"/>
  </r>
  <r>
    <x v="771"/>
    <s v="Betty Rodriguez"/>
    <n v="51"/>
    <x v="1"/>
    <x v="313"/>
    <d v="2024-01-09T00:00:00"/>
    <x v="2"/>
    <x v="21"/>
    <n v="1901.75"/>
    <n v="70"/>
    <x v="1"/>
    <x v="0"/>
    <n v="3"/>
  </r>
  <r>
    <x v="772"/>
    <s v="Matthew Jones"/>
    <n v="55"/>
    <x v="0"/>
    <x v="332"/>
    <d v="2025-06-27T00:00:00"/>
    <x v="1"/>
    <x v="3"/>
    <n v="5558.16"/>
    <n v="60"/>
    <x v="0"/>
    <x v="0"/>
    <n v="3"/>
  </r>
  <r>
    <x v="773"/>
    <s v="Robert Hernandez"/>
    <n v="34"/>
    <x v="0"/>
    <x v="176"/>
    <d v="2025-06-04T00:00:00"/>
    <x v="2"/>
    <x v="16"/>
    <n v="4500.7"/>
    <n v="90"/>
    <x v="0"/>
    <x v="2"/>
    <n v="7"/>
  </r>
  <r>
    <x v="774"/>
    <s v="Paul Rodriguez"/>
    <n v="81"/>
    <x v="0"/>
    <x v="21"/>
    <d v="2025-02-16T00:00:00"/>
    <x v="0"/>
    <x v="6"/>
    <n v="9036.9"/>
    <n v="50"/>
    <x v="1"/>
    <x v="1"/>
    <n v="5"/>
  </r>
  <r>
    <x v="775"/>
    <s v="Michael Wilson"/>
    <n v="83"/>
    <x v="0"/>
    <x v="380"/>
    <d v="2025-06-24T00:00:00"/>
    <x v="2"/>
    <x v="33"/>
    <n v="4404.2299999999996"/>
    <n v="50"/>
    <x v="2"/>
    <x v="1"/>
    <n v="5"/>
  </r>
  <r>
    <x v="776"/>
    <s v="Anthony Miller"/>
    <n v="51"/>
    <x v="0"/>
    <x v="126"/>
    <d v="2024-06-27T00:00:00"/>
    <x v="2"/>
    <x v="21"/>
    <n v="4907.47"/>
    <n v="80"/>
    <x v="0"/>
    <x v="0"/>
    <n v="5"/>
  </r>
  <r>
    <x v="777"/>
    <s v="Brian Davis"/>
    <n v="71"/>
    <x v="0"/>
    <x v="63"/>
    <d v="2025-03-25T00:00:00"/>
    <x v="0"/>
    <x v="0"/>
    <n v="26768.21"/>
    <n v="100"/>
    <x v="2"/>
    <x v="1"/>
    <n v="10"/>
  </r>
  <r>
    <x v="778"/>
    <s v="Kimberly Thompson"/>
    <n v="85"/>
    <x v="1"/>
    <x v="36"/>
    <d v="2025-06-07T00:00:00"/>
    <x v="2"/>
    <x v="8"/>
    <n v="2615.96"/>
    <n v="100"/>
    <x v="0"/>
    <x v="1"/>
    <n v="4"/>
  </r>
  <r>
    <x v="779"/>
    <s v="Mark Harris"/>
    <n v="74"/>
    <x v="0"/>
    <x v="425"/>
    <d v="2025-12-23T00:00:00"/>
    <x v="2"/>
    <x v="33"/>
    <n v="7371.54"/>
    <n v="70"/>
    <x v="2"/>
    <x v="1"/>
    <n v="6"/>
  </r>
  <r>
    <x v="780"/>
    <s v="Elizabeth Lopez"/>
    <n v="74"/>
    <x v="1"/>
    <x v="360"/>
    <d v="2025-01-01T00:00:00"/>
    <x v="1"/>
    <x v="31"/>
    <n v="1984.12"/>
    <n v="70"/>
    <x v="1"/>
    <x v="1"/>
    <n v="1"/>
  </r>
  <r>
    <x v="781"/>
    <s v="Sarah Ramirez"/>
    <n v="42"/>
    <x v="1"/>
    <x v="309"/>
    <d v="2025-04-14T00:00:00"/>
    <x v="5"/>
    <x v="17"/>
    <n v="15265.35"/>
    <n v="100"/>
    <x v="0"/>
    <x v="3"/>
    <n v="6"/>
  </r>
  <r>
    <x v="782"/>
    <s v="Christopher Martin"/>
    <n v="43"/>
    <x v="0"/>
    <x v="192"/>
    <d v="2024-10-20T00:00:00"/>
    <x v="5"/>
    <x v="35"/>
    <n v="24895.77"/>
    <n v="80"/>
    <x v="0"/>
    <x v="3"/>
    <n v="11"/>
  </r>
  <r>
    <x v="783"/>
    <s v="Betty Davis"/>
    <n v="43"/>
    <x v="1"/>
    <x v="253"/>
    <d v="2025-03-31T00:00:00"/>
    <x v="2"/>
    <x v="5"/>
    <n v="2392.67"/>
    <n v="60"/>
    <x v="2"/>
    <x v="3"/>
    <n v="4"/>
  </r>
  <r>
    <x v="784"/>
    <s v="Sarah Jackson"/>
    <n v="23"/>
    <x v="1"/>
    <x v="224"/>
    <d v="2024-12-09T00:00:00"/>
    <x v="2"/>
    <x v="21"/>
    <n v="1000.43"/>
    <n v="90"/>
    <x v="0"/>
    <x v="2"/>
    <n v="1"/>
  </r>
  <r>
    <x v="785"/>
    <s v="David Rodriguez"/>
    <n v="58"/>
    <x v="0"/>
    <x v="471"/>
    <d v="2025-02-25T00:00:00"/>
    <x v="5"/>
    <x v="34"/>
    <n v="10299"/>
    <n v="90"/>
    <x v="0"/>
    <x v="0"/>
    <n v="4"/>
  </r>
  <r>
    <x v="786"/>
    <s v="Kimberly Smith"/>
    <n v="58"/>
    <x v="1"/>
    <x v="192"/>
    <d v="2024-10-19T00:00:00"/>
    <x v="5"/>
    <x v="28"/>
    <n v="25129.38"/>
    <n v="90"/>
    <x v="0"/>
    <x v="0"/>
    <n v="10"/>
  </r>
  <r>
    <x v="787"/>
    <s v="Joshua Jones"/>
    <n v="9"/>
    <x v="0"/>
    <x v="430"/>
    <d v="2024-05-11T00:00:00"/>
    <x v="3"/>
    <x v="22"/>
    <n v="6735.15"/>
    <n v="100"/>
    <x v="2"/>
    <x v="4"/>
    <n v="5"/>
  </r>
  <r>
    <x v="788"/>
    <s v="Carol Lewis"/>
    <n v="62"/>
    <x v="1"/>
    <x v="81"/>
    <d v="2024-09-05T00:00:00"/>
    <x v="0"/>
    <x v="20"/>
    <n v="20130.14"/>
    <n v="70"/>
    <x v="0"/>
    <x v="0"/>
    <n v="10"/>
  </r>
  <r>
    <x v="789"/>
    <s v="Kenneth Robinson"/>
    <n v="3"/>
    <x v="0"/>
    <x v="472"/>
    <d v="2024-02-28T00:00:00"/>
    <x v="3"/>
    <x v="37"/>
    <n v="1138.69"/>
    <n v="80"/>
    <x v="0"/>
    <x v="4"/>
    <n v="1"/>
  </r>
  <r>
    <x v="790"/>
    <s v="Matthew Martin"/>
    <n v="75"/>
    <x v="0"/>
    <x v="221"/>
    <d v="2025-10-02T00:00:00"/>
    <x v="4"/>
    <x v="18"/>
    <n v="17304.05"/>
    <n v="80"/>
    <x v="0"/>
    <x v="1"/>
    <n v="13"/>
  </r>
  <r>
    <x v="791"/>
    <s v="Emily Garcia"/>
    <n v="66"/>
    <x v="1"/>
    <x v="362"/>
    <d v="2025-01-13T00:00:00"/>
    <x v="2"/>
    <x v="33"/>
    <n v="2563.36"/>
    <n v="70"/>
    <x v="0"/>
    <x v="5"/>
    <n v="4"/>
  </r>
  <r>
    <x v="792"/>
    <s v="Carol Ramirez"/>
    <n v="73"/>
    <x v="1"/>
    <x v="473"/>
    <d v="2025-08-23T00:00:00"/>
    <x v="2"/>
    <x v="4"/>
    <n v="5938.64"/>
    <n v="80"/>
    <x v="0"/>
    <x v="1"/>
    <n v="6"/>
  </r>
  <r>
    <x v="793"/>
    <s v="Robert Lee"/>
    <n v="58"/>
    <x v="0"/>
    <x v="239"/>
    <d v="2025-04-19T00:00:00"/>
    <x v="4"/>
    <x v="13"/>
    <n v="6946.39"/>
    <n v="90"/>
    <x v="0"/>
    <x v="0"/>
    <n v="3"/>
  </r>
  <r>
    <x v="794"/>
    <s v="Dorothy Thomas"/>
    <n v="32"/>
    <x v="1"/>
    <x v="414"/>
    <d v="2025-06-15T00:00:00"/>
    <x v="5"/>
    <x v="30"/>
    <n v="15560.38"/>
    <n v="80"/>
    <x v="0"/>
    <x v="2"/>
    <n v="11"/>
  </r>
  <r>
    <x v="795"/>
    <s v="Joshua Thomas"/>
    <n v="14"/>
    <x v="0"/>
    <x v="261"/>
    <d v="2025-04-03T00:00:00"/>
    <x v="3"/>
    <x v="22"/>
    <n v="6667.93"/>
    <n v="90"/>
    <x v="1"/>
    <x v="4"/>
    <n v="4"/>
  </r>
  <r>
    <x v="796"/>
    <s v="Thomas Smith"/>
    <n v="26"/>
    <x v="0"/>
    <x v="297"/>
    <d v="2024-01-16T00:00:00"/>
    <x v="1"/>
    <x v="31"/>
    <n v="3800.12"/>
    <n v="70"/>
    <x v="0"/>
    <x v="2"/>
    <n v="2"/>
  </r>
  <r>
    <x v="797"/>
    <s v="Elizabeth Miller"/>
    <n v="25"/>
    <x v="1"/>
    <x v="474"/>
    <d v="2024-02-23T00:00:00"/>
    <x v="1"/>
    <x v="7"/>
    <n v="1697.82"/>
    <n v="80"/>
    <x v="0"/>
    <x v="2"/>
    <n v="1"/>
  </r>
  <r>
    <x v="798"/>
    <s v="Robert Lopez"/>
    <n v="44"/>
    <x v="0"/>
    <x v="308"/>
    <d v="2025-11-22T00:00:00"/>
    <x v="0"/>
    <x v="29"/>
    <n v="8833.89"/>
    <n v="100"/>
    <x v="0"/>
    <x v="3"/>
    <n v="3"/>
  </r>
  <r>
    <x v="799"/>
    <s v="Robert Hernandez"/>
    <n v="52"/>
    <x v="0"/>
    <x v="183"/>
    <d v="2025-06-02T00:00:00"/>
    <x v="2"/>
    <x v="5"/>
    <n v="809.13"/>
    <n v="60"/>
    <x v="1"/>
    <x v="0"/>
    <n v="1"/>
  </r>
  <r>
    <x v="800"/>
    <s v="Matthew Moore"/>
    <n v="66"/>
    <x v="0"/>
    <x v="475"/>
    <d v="2024-02-15T00:00:00"/>
    <x v="1"/>
    <x v="36"/>
    <n v="2529.54"/>
    <n v="100"/>
    <x v="1"/>
    <x v="5"/>
    <n v="2"/>
  </r>
  <r>
    <x v="801"/>
    <s v="Donna Jackson"/>
    <n v="8"/>
    <x v="1"/>
    <x v="476"/>
    <d v="2025-10-12T00:00:00"/>
    <x v="3"/>
    <x v="9"/>
    <n v="4739.3900000000003"/>
    <n v="80"/>
    <x v="1"/>
    <x v="4"/>
    <n v="3"/>
  </r>
  <r>
    <x v="802"/>
    <s v="Sarah Brown"/>
    <n v="37"/>
    <x v="1"/>
    <x v="477"/>
    <d v="2025-11-01T00:00:00"/>
    <x v="1"/>
    <x v="3"/>
    <n v="1444.42"/>
    <n v="80"/>
    <x v="0"/>
    <x v="3"/>
    <n v="1"/>
  </r>
  <r>
    <x v="803"/>
    <s v="Carol Lee"/>
    <n v="21"/>
    <x v="1"/>
    <x v="478"/>
    <d v="2024-04-03T00:00:00"/>
    <x v="2"/>
    <x v="10"/>
    <n v="646.89"/>
    <n v="70"/>
    <x v="1"/>
    <x v="2"/>
    <n v="1"/>
  </r>
  <r>
    <x v="804"/>
    <s v="Brian Clark"/>
    <n v="64"/>
    <x v="0"/>
    <x v="193"/>
    <d v="2024-09-20T00:00:00"/>
    <x v="1"/>
    <x v="32"/>
    <n v="4600.38"/>
    <n v="70"/>
    <x v="0"/>
    <x v="0"/>
    <n v="2"/>
  </r>
  <r>
    <x v="805"/>
    <s v="Elizabeth Walker"/>
    <n v="78"/>
    <x v="1"/>
    <x v="368"/>
    <d v="2024-07-25T00:00:00"/>
    <x v="1"/>
    <x v="3"/>
    <n v="2479.6999999999998"/>
    <n v="80"/>
    <x v="0"/>
    <x v="1"/>
    <n v="3"/>
  </r>
  <r>
    <x v="806"/>
    <s v="James Perez"/>
    <n v="48"/>
    <x v="0"/>
    <x v="427"/>
    <d v="2025-11-01T00:00:00"/>
    <x v="2"/>
    <x v="16"/>
    <n v="10101.09"/>
    <n v="80"/>
    <x v="2"/>
    <x v="3"/>
    <n v="7"/>
  </r>
  <r>
    <x v="807"/>
    <s v="Karen Miller"/>
    <n v="59"/>
    <x v="1"/>
    <x v="479"/>
    <d v="2025-09-24T00:00:00"/>
    <x v="2"/>
    <x v="33"/>
    <n v="2291.15"/>
    <n v="60"/>
    <x v="0"/>
    <x v="0"/>
    <n v="3"/>
  </r>
  <r>
    <x v="808"/>
    <s v="Barbara Miller"/>
    <n v="61"/>
    <x v="1"/>
    <x v="480"/>
    <d v="2024-10-08T00:00:00"/>
    <x v="2"/>
    <x v="5"/>
    <n v="4440.5200000000004"/>
    <n v="0"/>
    <x v="1"/>
    <x v="0"/>
    <n v="3"/>
  </r>
  <r>
    <x v="809"/>
    <s v="Richard Martinez"/>
    <n v="83"/>
    <x v="0"/>
    <x v="481"/>
    <d v="2024-11-07T00:00:00"/>
    <x v="2"/>
    <x v="16"/>
    <n v="923.56"/>
    <n v="90"/>
    <x v="0"/>
    <x v="1"/>
    <n v="1"/>
  </r>
  <r>
    <x v="810"/>
    <s v="James Young"/>
    <n v="62"/>
    <x v="0"/>
    <x v="111"/>
    <d v="2024-11-08T00:00:00"/>
    <x v="0"/>
    <x v="29"/>
    <n v="7663.44"/>
    <n v="90"/>
    <x v="0"/>
    <x v="0"/>
    <n v="3"/>
  </r>
  <r>
    <x v="811"/>
    <s v="Jennifer Smith"/>
    <n v="14"/>
    <x v="1"/>
    <x v="355"/>
    <d v="2025-02-02T00:00:00"/>
    <x v="3"/>
    <x v="24"/>
    <n v="6386.92"/>
    <n v="100"/>
    <x v="0"/>
    <x v="4"/>
    <n v="4"/>
  </r>
  <r>
    <x v="812"/>
    <s v="Susan Thomas"/>
    <n v="41"/>
    <x v="1"/>
    <x v="474"/>
    <d v="2024-02-24T00:00:00"/>
    <x v="1"/>
    <x v="32"/>
    <n v="3243.4"/>
    <n v="70"/>
    <x v="2"/>
    <x v="3"/>
    <n v="2"/>
  </r>
  <r>
    <x v="813"/>
    <s v="William Anderson"/>
    <n v="28"/>
    <x v="0"/>
    <x v="390"/>
    <d v="2024-08-21T00:00:00"/>
    <x v="1"/>
    <x v="36"/>
    <n v="2328.9699999999998"/>
    <n v="60"/>
    <x v="2"/>
    <x v="2"/>
    <n v="2"/>
  </r>
  <r>
    <x v="814"/>
    <s v="Carol Ramirez"/>
    <n v="76"/>
    <x v="1"/>
    <x v="428"/>
    <d v="2024-04-11T00:00:00"/>
    <x v="0"/>
    <x v="20"/>
    <n v="11411.19"/>
    <n v="70"/>
    <x v="0"/>
    <x v="1"/>
    <n v="5"/>
  </r>
  <r>
    <x v="815"/>
    <s v="Barbara Thomas"/>
    <n v="80"/>
    <x v="1"/>
    <x v="457"/>
    <d v="2024-06-14T00:00:00"/>
    <x v="5"/>
    <x v="17"/>
    <n v="18741.169999999998"/>
    <n v="70"/>
    <x v="0"/>
    <x v="1"/>
    <n v="8"/>
  </r>
  <r>
    <x v="816"/>
    <s v="Ashley Thompson"/>
    <n v="53"/>
    <x v="1"/>
    <x v="186"/>
    <d v="2024-09-08T00:00:00"/>
    <x v="1"/>
    <x v="3"/>
    <n v="3602.24"/>
    <n v="70"/>
    <x v="0"/>
    <x v="0"/>
    <n v="2"/>
  </r>
  <r>
    <x v="817"/>
    <s v="Ashley Perez"/>
    <n v="50"/>
    <x v="1"/>
    <x v="418"/>
    <d v="2024-11-15T00:00:00"/>
    <x v="4"/>
    <x v="13"/>
    <n v="3967.17"/>
    <n v="90"/>
    <x v="0"/>
    <x v="3"/>
    <n v="2"/>
  </r>
  <r>
    <x v="818"/>
    <s v="Jennifer Thompson"/>
    <n v="30"/>
    <x v="1"/>
    <x v="481"/>
    <d v="2024-11-10T00:00:00"/>
    <x v="4"/>
    <x v="18"/>
    <n v="5430.38"/>
    <n v="80"/>
    <x v="0"/>
    <x v="2"/>
    <n v="4"/>
  </r>
  <r>
    <x v="819"/>
    <s v="Barbara Martinez"/>
    <n v="49"/>
    <x v="1"/>
    <x v="3"/>
    <d v="2024-10-29T00:00:00"/>
    <x v="2"/>
    <x v="5"/>
    <n v="3153.91"/>
    <n v="90"/>
    <x v="0"/>
    <x v="3"/>
    <n v="6"/>
  </r>
  <r>
    <x v="820"/>
    <s v="Jessica Perez"/>
    <n v="32"/>
    <x v="1"/>
    <x v="228"/>
    <d v="2024-09-18T00:00:00"/>
    <x v="2"/>
    <x v="33"/>
    <n v="4214.28"/>
    <n v="80"/>
    <x v="0"/>
    <x v="2"/>
    <n v="6"/>
  </r>
  <r>
    <x v="821"/>
    <s v="Richard Anderson"/>
    <n v="70"/>
    <x v="0"/>
    <x v="482"/>
    <d v="2025-10-20T00:00:00"/>
    <x v="5"/>
    <x v="30"/>
    <n v="5898.39"/>
    <n v="60"/>
    <x v="1"/>
    <x v="1"/>
    <n v="3"/>
  </r>
  <r>
    <x v="822"/>
    <s v="Susan Garcia"/>
    <n v="35"/>
    <x v="1"/>
    <x v="483"/>
    <d v="2025-11-27T00:00:00"/>
    <x v="4"/>
    <x v="27"/>
    <n v="32045.67"/>
    <n v="80"/>
    <x v="0"/>
    <x v="2"/>
    <n v="14"/>
  </r>
  <r>
    <x v="823"/>
    <s v="Thomas Jones"/>
    <n v="77"/>
    <x v="0"/>
    <x v="484"/>
    <d v="2024-04-06T00:00:00"/>
    <x v="5"/>
    <x v="34"/>
    <n v="11916.1"/>
    <n v="90"/>
    <x v="0"/>
    <x v="1"/>
    <n v="5"/>
  </r>
  <r>
    <x v="824"/>
    <s v="Barbara Thompson"/>
    <n v="26"/>
    <x v="1"/>
    <x v="485"/>
    <d v="2024-11-22T00:00:00"/>
    <x v="2"/>
    <x v="21"/>
    <n v="5499.8"/>
    <n v="80"/>
    <x v="1"/>
    <x v="2"/>
    <n v="7"/>
  </r>
  <r>
    <x v="825"/>
    <s v="Andrew Jackson"/>
    <n v="32"/>
    <x v="0"/>
    <x v="259"/>
    <d v="2025-11-17T00:00:00"/>
    <x v="5"/>
    <x v="17"/>
    <n v="8755.16"/>
    <n v="50"/>
    <x v="0"/>
    <x v="2"/>
    <n v="5"/>
  </r>
  <r>
    <x v="826"/>
    <s v="Matthew White"/>
    <n v="35"/>
    <x v="0"/>
    <x v="449"/>
    <d v="2025-01-12T00:00:00"/>
    <x v="2"/>
    <x v="21"/>
    <n v="3252.83"/>
    <n v="70"/>
    <x v="2"/>
    <x v="2"/>
    <n v="5"/>
  </r>
  <r>
    <x v="827"/>
    <s v="Michelle Martinez"/>
    <n v="52"/>
    <x v="1"/>
    <x v="486"/>
    <d v="2025-10-13T00:00:00"/>
    <x v="4"/>
    <x v="14"/>
    <n v="12778.56"/>
    <n v="80"/>
    <x v="1"/>
    <x v="0"/>
    <n v="5"/>
  </r>
  <r>
    <x v="828"/>
    <s v="Daniel White"/>
    <n v="73"/>
    <x v="0"/>
    <x v="259"/>
    <d v="2025-11-24T00:00:00"/>
    <x v="4"/>
    <x v="13"/>
    <n v="27830.62"/>
    <n v="60"/>
    <x v="1"/>
    <x v="1"/>
    <n v="12"/>
  </r>
  <r>
    <x v="829"/>
    <s v="Joseph Perez"/>
    <n v="5"/>
    <x v="0"/>
    <x v="406"/>
    <d v="2025-07-26T00:00:00"/>
    <x v="3"/>
    <x v="37"/>
    <n v="4474.62"/>
    <n v="100"/>
    <x v="1"/>
    <x v="4"/>
    <n v="4"/>
  </r>
  <r>
    <x v="830"/>
    <s v="James Moore"/>
    <n v="13"/>
    <x v="0"/>
    <x v="189"/>
    <d v="2025-01-05T00:00:00"/>
    <x v="3"/>
    <x v="37"/>
    <n v="3553.09"/>
    <n v="60"/>
    <x v="1"/>
    <x v="4"/>
    <n v="4"/>
  </r>
  <r>
    <x v="831"/>
    <s v="Joshua Thompson"/>
    <n v="16"/>
    <x v="0"/>
    <x v="20"/>
    <d v="2025-10-24T00:00:00"/>
    <x v="3"/>
    <x v="22"/>
    <n v="2767.65"/>
    <n v="70"/>
    <x v="0"/>
    <x v="4"/>
    <n v="2"/>
  </r>
  <r>
    <x v="832"/>
    <s v="Kevin Lopez"/>
    <n v="14"/>
    <x v="0"/>
    <x v="487"/>
    <d v="2024-06-11T00:00:00"/>
    <x v="3"/>
    <x v="9"/>
    <n v="2721.43"/>
    <n v="80"/>
    <x v="0"/>
    <x v="4"/>
    <n v="2"/>
  </r>
  <r>
    <x v="833"/>
    <s v="Jennifer Thomas"/>
    <n v="21"/>
    <x v="1"/>
    <x v="488"/>
    <d v="2024-10-11T00:00:00"/>
    <x v="1"/>
    <x v="31"/>
    <n v="2887.15"/>
    <n v="90"/>
    <x v="2"/>
    <x v="2"/>
    <n v="3"/>
  </r>
  <r>
    <x v="834"/>
    <s v="Daniel Wilson"/>
    <n v="29"/>
    <x v="0"/>
    <x v="489"/>
    <d v="2024-09-20T00:00:00"/>
    <x v="1"/>
    <x v="2"/>
    <n v="7071.48"/>
    <n v="80"/>
    <x v="0"/>
    <x v="2"/>
    <n v="3"/>
  </r>
  <r>
    <x v="835"/>
    <s v="Kimberly Harris"/>
    <n v="72"/>
    <x v="1"/>
    <x v="161"/>
    <d v="2024-01-13T00:00:00"/>
    <x v="0"/>
    <x v="29"/>
    <n v="8289.81"/>
    <n v="80"/>
    <x v="0"/>
    <x v="1"/>
    <n v="4"/>
  </r>
  <r>
    <x v="836"/>
    <s v="Elizabeth Jackson"/>
    <n v="20"/>
    <x v="1"/>
    <x v="490"/>
    <d v="2025-07-09T00:00:00"/>
    <x v="2"/>
    <x v="21"/>
    <n v="1605.53"/>
    <n v="80"/>
    <x v="0"/>
    <x v="2"/>
    <n v="3"/>
  </r>
  <r>
    <x v="837"/>
    <s v="Betty Wilson"/>
    <n v="26"/>
    <x v="1"/>
    <x v="266"/>
    <d v="2025-01-18T00:00:00"/>
    <x v="2"/>
    <x v="21"/>
    <n v="3803.99"/>
    <n v="50"/>
    <x v="2"/>
    <x v="2"/>
    <n v="3"/>
  </r>
  <r>
    <x v="838"/>
    <s v="Karen Lopez"/>
    <n v="41"/>
    <x v="1"/>
    <x v="149"/>
    <d v="2025-09-19T00:00:00"/>
    <x v="4"/>
    <x v="27"/>
    <n v="11654.43"/>
    <n v="0"/>
    <x v="2"/>
    <x v="3"/>
    <n v="6"/>
  </r>
  <r>
    <x v="839"/>
    <s v="Christopher Brown"/>
    <n v="1"/>
    <x v="0"/>
    <x v="341"/>
    <d v="2025-12-15T00:00:00"/>
    <x v="3"/>
    <x v="25"/>
    <n v="3542.96"/>
    <n v="80"/>
    <x v="2"/>
    <x v="4"/>
    <n v="2"/>
  </r>
  <r>
    <x v="840"/>
    <s v="Robert Moore"/>
    <n v="1"/>
    <x v="0"/>
    <x v="491"/>
    <d v="2025-12-11T00:00:00"/>
    <x v="3"/>
    <x v="23"/>
    <n v="6340.11"/>
    <n v="70"/>
    <x v="1"/>
    <x v="4"/>
    <n v="5"/>
  </r>
  <r>
    <x v="841"/>
    <s v="Joshua Walker"/>
    <n v="31"/>
    <x v="0"/>
    <x v="492"/>
    <d v="2024-04-17T00:00:00"/>
    <x v="4"/>
    <x v="18"/>
    <n v="33330.199999999997"/>
    <n v="60"/>
    <x v="0"/>
    <x v="2"/>
    <n v="13"/>
  </r>
  <r>
    <x v="842"/>
    <s v="Barbara Martin"/>
    <n v="35"/>
    <x v="1"/>
    <x v="18"/>
    <d v="2024-12-26T00:00:00"/>
    <x v="4"/>
    <x v="14"/>
    <n v="4622.9399999999996"/>
    <n v="90"/>
    <x v="0"/>
    <x v="2"/>
    <n v="3"/>
  </r>
  <r>
    <x v="843"/>
    <s v="William Thomas"/>
    <n v="2"/>
    <x v="0"/>
    <x v="373"/>
    <d v="2024-07-04T00:00:00"/>
    <x v="3"/>
    <x v="24"/>
    <n v="6314.88"/>
    <n v="70"/>
    <x v="0"/>
    <x v="4"/>
    <n v="5"/>
  </r>
  <r>
    <x v="844"/>
    <s v="Joshua Davis"/>
    <n v="25"/>
    <x v="0"/>
    <x v="493"/>
    <d v="2024-05-11T00:00:00"/>
    <x v="4"/>
    <x v="18"/>
    <n v="25971.47"/>
    <n v="80"/>
    <x v="1"/>
    <x v="2"/>
    <n v="14"/>
  </r>
  <r>
    <x v="845"/>
    <s v="Lisa Miller"/>
    <n v="44"/>
    <x v="1"/>
    <x v="7"/>
    <d v="2024-02-29T00:00:00"/>
    <x v="2"/>
    <x v="33"/>
    <n v="2926.43"/>
    <n v="90"/>
    <x v="0"/>
    <x v="3"/>
    <n v="5"/>
  </r>
  <r>
    <x v="846"/>
    <s v="Daniel Ramirez"/>
    <n v="39"/>
    <x v="0"/>
    <x v="494"/>
    <d v="2025-10-06T00:00:00"/>
    <x v="2"/>
    <x v="8"/>
    <n v="6712.97"/>
    <n v="80"/>
    <x v="1"/>
    <x v="3"/>
    <n v="5"/>
  </r>
  <r>
    <x v="847"/>
    <s v="Karen Miller"/>
    <n v="72"/>
    <x v="1"/>
    <x v="495"/>
    <d v="2024-09-07T00:00:00"/>
    <x v="2"/>
    <x v="5"/>
    <n v="3235.11"/>
    <n v="80"/>
    <x v="0"/>
    <x v="1"/>
    <n v="3"/>
  </r>
  <r>
    <x v="848"/>
    <s v="Steven Williams"/>
    <n v="64"/>
    <x v="0"/>
    <x v="69"/>
    <d v="2025-11-09T00:00:00"/>
    <x v="1"/>
    <x v="7"/>
    <n v="1023.76"/>
    <n v="100"/>
    <x v="0"/>
    <x v="0"/>
    <n v="1"/>
  </r>
  <r>
    <x v="849"/>
    <s v="Donna Lee"/>
    <n v="15"/>
    <x v="1"/>
    <x v="63"/>
    <d v="2025-03-20T00:00:00"/>
    <x v="3"/>
    <x v="22"/>
    <n v="3307.88"/>
    <n v="80"/>
    <x v="2"/>
    <x v="4"/>
    <n v="5"/>
  </r>
  <r>
    <x v="850"/>
    <s v="Richard Thompson"/>
    <n v="1"/>
    <x v="0"/>
    <x v="496"/>
    <d v="2024-03-15T00:00:00"/>
    <x v="3"/>
    <x v="22"/>
    <n v="2503.98"/>
    <n v="50"/>
    <x v="0"/>
    <x v="4"/>
    <n v="2"/>
  </r>
  <r>
    <x v="851"/>
    <s v="Mark Young"/>
    <n v="36"/>
    <x v="0"/>
    <x v="385"/>
    <d v="2024-09-20T00:00:00"/>
    <x v="4"/>
    <x v="11"/>
    <n v="9721.9"/>
    <n v="0"/>
    <x v="1"/>
    <x v="3"/>
    <n v="6"/>
  </r>
  <r>
    <x v="852"/>
    <s v="Steven Lewis"/>
    <n v="45"/>
    <x v="0"/>
    <x v="497"/>
    <d v="2025-05-02T00:00:00"/>
    <x v="2"/>
    <x v="4"/>
    <n v="8925.93"/>
    <n v="70"/>
    <x v="2"/>
    <x v="3"/>
    <n v="7"/>
  </r>
  <r>
    <x v="853"/>
    <s v="Kevin Anderson"/>
    <n v="31"/>
    <x v="0"/>
    <x v="391"/>
    <d v="2024-04-28T00:00:00"/>
    <x v="2"/>
    <x v="10"/>
    <n v="2423.96"/>
    <n v="90"/>
    <x v="0"/>
    <x v="2"/>
    <n v="3"/>
  </r>
  <r>
    <x v="854"/>
    <s v="Donna Martin"/>
    <n v="77"/>
    <x v="1"/>
    <x v="88"/>
    <d v="2024-11-22T00:00:00"/>
    <x v="2"/>
    <x v="5"/>
    <n v="4453.26"/>
    <n v="60"/>
    <x v="1"/>
    <x v="1"/>
    <n v="6"/>
  </r>
  <r>
    <x v="855"/>
    <s v="Kevin Lewis"/>
    <n v="78"/>
    <x v="0"/>
    <x v="228"/>
    <d v="2024-09-15T00:00:00"/>
    <x v="5"/>
    <x v="28"/>
    <n v="4774.57"/>
    <n v="90"/>
    <x v="0"/>
    <x v="1"/>
    <n v="3"/>
  </r>
  <r>
    <x v="856"/>
    <s v="Betty Jackson"/>
    <n v="31"/>
    <x v="1"/>
    <x v="133"/>
    <d v="2024-04-03T00:00:00"/>
    <x v="1"/>
    <x v="7"/>
    <n v="3412"/>
    <n v="100"/>
    <x v="0"/>
    <x v="2"/>
    <n v="3"/>
  </r>
  <r>
    <x v="857"/>
    <s v="Ashley Martin"/>
    <n v="51"/>
    <x v="1"/>
    <x v="498"/>
    <d v="2024-10-12T00:00:00"/>
    <x v="2"/>
    <x v="10"/>
    <n v="1093.33"/>
    <n v="80"/>
    <x v="0"/>
    <x v="0"/>
    <n v="1"/>
  </r>
  <r>
    <x v="858"/>
    <s v="Linda Lewis"/>
    <n v="3"/>
    <x v="1"/>
    <x v="499"/>
    <d v="2025-11-07T00:00:00"/>
    <x v="3"/>
    <x v="9"/>
    <n v="5111.21"/>
    <n v="100"/>
    <x v="0"/>
    <x v="4"/>
    <n v="4"/>
  </r>
  <r>
    <x v="859"/>
    <s v="Kevin Walker"/>
    <n v="75"/>
    <x v="0"/>
    <x v="156"/>
    <d v="2025-03-07T00:00:00"/>
    <x v="2"/>
    <x v="8"/>
    <n v="5375.85"/>
    <n v="70"/>
    <x v="0"/>
    <x v="1"/>
    <n v="6"/>
  </r>
  <r>
    <x v="860"/>
    <s v="Kevin Lee"/>
    <n v="55"/>
    <x v="0"/>
    <x v="5"/>
    <d v="2024-07-25T00:00:00"/>
    <x v="4"/>
    <x v="11"/>
    <n v="9604.6200000000008"/>
    <n v="100"/>
    <x v="1"/>
    <x v="0"/>
    <n v="4"/>
  </r>
  <r>
    <x v="861"/>
    <s v="Betty Lopez"/>
    <n v="51"/>
    <x v="1"/>
    <x v="500"/>
    <d v="2024-12-14T00:00:00"/>
    <x v="2"/>
    <x v="33"/>
    <n v="8806.14"/>
    <n v="70"/>
    <x v="0"/>
    <x v="0"/>
    <n v="7"/>
  </r>
  <r>
    <x v="862"/>
    <s v="Kimberly Anderson"/>
    <n v="20"/>
    <x v="1"/>
    <x v="355"/>
    <d v="2025-01-31T00:00:00"/>
    <x v="1"/>
    <x v="32"/>
    <n v="3945.82"/>
    <n v="80"/>
    <x v="0"/>
    <x v="2"/>
    <n v="2"/>
  </r>
  <r>
    <x v="863"/>
    <s v="Sandra Wilson"/>
    <n v="33"/>
    <x v="1"/>
    <x v="150"/>
    <d v="2025-08-16T00:00:00"/>
    <x v="1"/>
    <x v="31"/>
    <n v="2303.3000000000002"/>
    <n v="80"/>
    <x v="0"/>
    <x v="2"/>
    <n v="1"/>
  </r>
  <r>
    <x v="864"/>
    <s v="Daniel Thomas"/>
    <n v="9"/>
    <x v="0"/>
    <x v="437"/>
    <d v="2025-06-07T00:00:00"/>
    <x v="3"/>
    <x v="23"/>
    <n v="1534.49"/>
    <n v="80"/>
    <x v="0"/>
    <x v="4"/>
    <n v="1"/>
  </r>
  <r>
    <x v="865"/>
    <s v="Paul Thomas"/>
    <n v="27"/>
    <x v="0"/>
    <x v="472"/>
    <d v="2024-02-28T00:00:00"/>
    <x v="2"/>
    <x v="16"/>
    <n v="1353.93"/>
    <n v="80"/>
    <x v="0"/>
    <x v="2"/>
    <n v="1"/>
  </r>
  <r>
    <x v="866"/>
    <s v="Dorothy Wilson"/>
    <n v="70"/>
    <x v="1"/>
    <x v="501"/>
    <d v="2024-05-16T00:00:00"/>
    <x v="0"/>
    <x v="29"/>
    <n v="12898.02"/>
    <n v="50"/>
    <x v="1"/>
    <x v="1"/>
    <n v="6"/>
  </r>
  <r>
    <x v="867"/>
    <s v="Karen Jones"/>
    <n v="62"/>
    <x v="1"/>
    <x v="102"/>
    <d v="2024-05-12T00:00:00"/>
    <x v="2"/>
    <x v="10"/>
    <n v="4833.0200000000004"/>
    <n v="70"/>
    <x v="2"/>
    <x v="0"/>
    <n v="4"/>
  </r>
  <r>
    <x v="868"/>
    <s v="Mark Martinez"/>
    <n v="42"/>
    <x v="0"/>
    <x v="122"/>
    <d v="2024-11-26T00:00:00"/>
    <x v="4"/>
    <x v="27"/>
    <n v="3132.44"/>
    <n v="80"/>
    <x v="0"/>
    <x v="3"/>
    <n v="3"/>
  </r>
  <r>
    <x v="869"/>
    <s v="Brian Jackson"/>
    <n v="60"/>
    <x v="0"/>
    <x v="351"/>
    <d v="2025-05-21T00:00:00"/>
    <x v="5"/>
    <x v="28"/>
    <n v="9720.49"/>
    <n v="90"/>
    <x v="1"/>
    <x v="0"/>
    <n v="7"/>
  </r>
  <r>
    <x v="870"/>
    <s v="Sandra Harris"/>
    <n v="16"/>
    <x v="1"/>
    <x v="27"/>
    <d v="2025-01-28T00:00:00"/>
    <x v="3"/>
    <x v="9"/>
    <n v="3754.13"/>
    <n v="80"/>
    <x v="0"/>
    <x v="4"/>
    <n v="3"/>
  </r>
  <r>
    <x v="871"/>
    <s v="Thomas Smith"/>
    <n v="34"/>
    <x v="0"/>
    <x v="278"/>
    <d v="2024-10-08T00:00:00"/>
    <x v="2"/>
    <x v="8"/>
    <n v="5762.53"/>
    <n v="90"/>
    <x v="0"/>
    <x v="2"/>
    <n v="4"/>
  </r>
  <r>
    <x v="872"/>
    <s v="James Rodriguez"/>
    <n v="79"/>
    <x v="0"/>
    <x v="502"/>
    <d v="2025-11-08T00:00:00"/>
    <x v="2"/>
    <x v="21"/>
    <n v="808.56"/>
    <n v="70"/>
    <x v="0"/>
    <x v="1"/>
    <n v="1"/>
  </r>
  <r>
    <x v="873"/>
    <s v="Dorothy Johnson"/>
    <n v="64"/>
    <x v="1"/>
    <x v="259"/>
    <d v="2025-11-20T00:00:00"/>
    <x v="0"/>
    <x v="6"/>
    <n v="15637.55"/>
    <n v="90"/>
    <x v="0"/>
    <x v="0"/>
    <n v="8"/>
  </r>
  <r>
    <x v="874"/>
    <s v="Carol Ramirez"/>
    <n v="58"/>
    <x v="1"/>
    <x v="503"/>
    <d v="2025-03-08T00:00:00"/>
    <x v="1"/>
    <x v="7"/>
    <n v="4011.18"/>
    <n v="90"/>
    <x v="0"/>
    <x v="0"/>
    <n v="2"/>
  </r>
  <r>
    <x v="875"/>
    <s v="Matthew Lee"/>
    <n v="53"/>
    <x v="0"/>
    <x v="504"/>
    <d v="2024-05-05T00:00:00"/>
    <x v="0"/>
    <x v="20"/>
    <n v="10693.69"/>
    <n v="100"/>
    <x v="0"/>
    <x v="0"/>
    <n v="5"/>
  </r>
  <r>
    <x v="876"/>
    <s v="Michelle Ramirez"/>
    <n v="39"/>
    <x v="1"/>
    <x v="500"/>
    <d v="2024-12-10T00:00:00"/>
    <x v="4"/>
    <x v="27"/>
    <n v="3746.98"/>
    <n v="80"/>
    <x v="0"/>
    <x v="3"/>
    <n v="3"/>
  </r>
  <r>
    <x v="877"/>
    <s v="Richard Davis"/>
    <n v="31"/>
    <x v="0"/>
    <x v="114"/>
    <d v="2024-08-21T00:00:00"/>
    <x v="5"/>
    <x v="34"/>
    <n v="24544.65"/>
    <n v="80"/>
    <x v="0"/>
    <x v="2"/>
    <n v="10"/>
  </r>
  <r>
    <x v="878"/>
    <s v="Richard Harris"/>
    <n v="35"/>
    <x v="0"/>
    <x v="505"/>
    <d v="2024-11-09T00:00:00"/>
    <x v="1"/>
    <x v="31"/>
    <n v="1355.19"/>
    <n v="80"/>
    <x v="0"/>
    <x v="2"/>
    <n v="1"/>
  </r>
  <r>
    <x v="879"/>
    <s v="Jennifer Jones"/>
    <n v="10"/>
    <x v="1"/>
    <x v="398"/>
    <d v="2024-07-26T00:00:00"/>
    <x v="3"/>
    <x v="24"/>
    <n v="628.96"/>
    <n v="70"/>
    <x v="0"/>
    <x v="4"/>
    <n v="1"/>
  </r>
  <r>
    <x v="880"/>
    <s v="Emily Martinez"/>
    <n v="47"/>
    <x v="1"/>
    <x v="506"/>
    <d v="2025-01-29T00:00:00"/>
    <x v="2"/>
    <x v="16"/>
    <n v="2366.37"/>
    <n v="80"/>
    <x v="0"/>
    <x v="3"/>
    <n v="2"/>
  </r>
  <r>
    <x v="881"/>
    <s v="Kevin Thomas"/>
    <n v="22"/>
    <x v="0"/>
    <x v="375"/>
    <d v="2024-10-01T00:00:00"/>
    <x v="1"/>
    <x v="36"/>
    <n v="2471.9699999999998"/>
    <n v="50"/>
    <x v="0"/>
    <x v="2"/>
    <n v="1"/>
  </r>
  <r>
    <x v="882"/>
    <s v="Elizabeth Young"/>
    <n v="51"/>
    <x v="1"/>
    <x v="485"/>
    <d v="2024-11-20T00:00:00"/>
    <x v="0"/>
    <x v="19"/>
    <n v="12189.63"/>
    <n v="90"/>
    <x v="0"/>
    <x v="0"/>
    <n v="5"/>
  </r>
  <r>
    <x v="883"/>
    <s v="Steven Jones"/>
    <n v="7"/>
    <x v="0"/>
    <x v="181"/>
    <d v="2025-01-06T00:00:00"/>
    <x v="3"/>
    <x v="23"/>
    <n v="4133.3599999999997"/>
    <n v="60"/>
    <x v="1"/>
    <x v="4"/>
    <n v="3"/>
  </r>
  <r>
    <x v="884"/>
    <s v="Elizabeth Lee"/>
    <n v="29"/>
    <x v="1"/>
    <x v="266"/>
    <d v="2025-01-25T00:00:00"/>
    <x v="4"/>
    <x v="13"/>
    <n v="10560.57"/>
    <n v="70"/>
    <x v="0"/>
    <x v="2"/>
    <n v="10"/>
  </r>
  <r>
    <x v="885"/>
    <s v="Donna Harris"/>
    <n v="55"/>
    <x v="1"/>
    <x v="5"/>
    <d v="2024-07-27T00:00:00"/>
    <x v="0"/>
    <x v="20"/>
    <n v="16685.38"/>
    <n v="90"/>
    <x v="2"/>
    <x v="0"/>
    <n v="6"/>
  </r>
  <r>
    <x v="886"/>
    <s v="Betty Thompson"/>
    <n v="43"/>
    <x v="1"/>
    <x v="507"/>
    <d v="2024-06-12T00:00:00"/>
    <x v="4"/>
    <x v="18"/>
    <n v="12448.18"/>
    <n v="90"/>
    <x v="0"/>
    <x v="3"/>
    <n v="5"/>
  </r>
  <r>
    <x v="887"/>
    <s v="Carol Garcia"/>
    <n v="58"/>
    <x v="1"/>
    <x v="186"/>
    <d v="2024-09-09T00:00:00"/>
    <x v="5"/>
    <x v="35"/>
    <n v="7181.24"/>
    <n v="80"/>
    <x v="0"/>
    <x v="0"/>
    <n v="3"/>
  </r>
  <r>
    <x v="888"/>
    <s v="Donna Martin"/>
    <n v="51"/>
    <x v="1"/>
    <x v="508"/>
    <d v="2025-11-26T00:00:00"/>
    <x v="5"/>
    <x v="12"/>
    <n v="12719.1"/>
    <n v="80"/>
    <x v="1"/>
    <x v="0"/>
    <n v="10"/>
  </r>
  <r>
    <x v="889"/>
    <s v="Sarah Walker"/>
    <n v="19"/>
    <x v="1"/>
    <x v="396"/>
    <d v="2024-07-21T00:00:00"/>
    <x v="2"/>
    <x v="10"/>
    <n v="3960.59"/>
    <n v="70"/>
    <x v="2"/>
    <x v="2"/>
    <n v="5"/>
  </r>
  <r>
    <x v="890"/>
    <s v="Kevin Hernandez"/>
    <n v="73"/>
    <x v="0"/>
    <x v="509"/>
    <d v="2025-06-06T00:00:00"/>
    <x v="4"/>
    <x v="26"/>
    <n v="32658.41"/>
    <n v="100"/>
    <x v="0"/>
    <x v="1"/>
    <n v="13"/>
  </r>
  <r>
    <x v="891"/>
    <s v="Matthew Miller"/>
    <n v="53"/>
    <x v="0"/>
    <x v="361"/>
    <d v="2025-01-07T00:00:00"/>
    <x v="1"/>
    <x v="31"/>
    <n v="4283.7"/>
    <n v="70"/>
    <x v="2"/>
    <x v="0"/>
    <n v="3"/>
  </r>
  <r>
    <x v="892"/>
    <s v="David Clark"/>
    <n v="52"/>
    <x v="0"/>
    <x v="127"/>
    <d v="2024-07-10T00:00:00"/>
    <x v="4"/>
    <x v="14"/>
    <n v="5291.81"/>
    <n v="50"/>
    <x v="0"/>
    <x v="0"/>
    <n v="2"/>
  </r>
  <r>
    <x v="893"/>
    <s v="Elizabeth Miller"/>
    <n v="80"/>
    <x v="1"/>
    <x v="510"/>
    <d v="2024-12-03T00:00:00"/>
    <x v="2"/>
    <x v="5"/>
    <n v="3170.27"/>
    <n v="90"/>
    <x v="0"/>
    <x v="1"/>
    <n v="6"/>
  </r>
  <r>
    <x v="894"/>
    <s v="Brian Thomas"/>
    <n v="32"/>
    <x v="0"/>
    <x v="511"/>
    <d v="2024-08-21T00:00:00"/>
    <x v="2"/>
    <x v="21"/>
    <n v="6978.9"/>
    <n v="90"/>
    <x v="1"/>
    <x v="2"/>
    <n v="7"/>
  </r>
  <r>
    <x v="895"/>
    <s v="Sandra Lewis"/>
    <n v="63"/>
    <x v="1"/>
    <x v="307"/>
    <d v="2024-08-29T00:00:00"/>
    <x v="2"/>
    <x v="16"/>
    <n v="4868.46"/>
    <n v="80"/>
    <x v="0"/>
    <x v="0"/>
    <n v="6"/>
  </r>
  <r>
    <x v="896"/>
    <s v="Mark Martinez"/>
    <n v="58"/>
    <x v="0"/>
    <x v="257"/>
    <d v="2025-07-09T00:00:00"/>
    <x v="4"/>
    <x v="11"/>
    <n v="34197.050000000003"/>
    <n v="80"/>
    <x v="0"/>
    <x v="0"/>
    <n v="14"/>
  </r>
  <r>
    <x v="897"/>
    <s v="Barbara Johnson"/>
    <n v="60"/>
    <x v="1"/>
    <x v="6"/>
    <d v="2024-02-10T00:00:00"/>
    <x v="2"/>
    <x v="21"/>
    <n v="647.75"/>
    <n v="80"/>
    <x v="0"/>
    <x v="0"/>
    <n v="1"/>
  </r>
  <r>
    <x v="898"/>
    <s v="Jessica Williams"/>
    <n v="5"/>
    <x v="1"/>
    <x v="512"/>
    <d v="2024-06-23T00:00:00"/>
    <x v="3"/>
    <x v="24"/>
    <n v="3913.66"/>
    <n v="90"/>
    <x v="1"/>
    <x v="4"/>
    <n v="5"/>
  </r>
  <r>
    <x v="899"/>
    <s v="Christopher Perez"/>
    <n v="8"/>
    <x v="0"/>
    <x v="156"/>
    <d v="2025-03-06T00:00:00"/>
    <x v="3"/>
    <x v="23"/>
    <n v="8364.6200000000008"/>
    <n v="100"/>
    <x v="0"/>
    <x v="4"/>
    <n v="5"/>
  </r>
  <r>
    <x v="900"/>
    <s v="Betty Lewis"/>
    <n v="8"/>
    <x v="1"/>
    <x v="513"/>
    <d v="2025-12-01T00:00:00"/>
    <x v="3"/>
    <x v="24"/>
    <n v="750.94"/>
    <n v="60"/>
    <x v="1"/>
    <x v="4"/>
    <n v="1"/>
  </r>
  <r>
    <x v="901"/>
    <s v="Nancy Clark"/>
    <n v="21"/>
    <x v="1"/>
    <x v="514"/>
    <d v="2025-09-16T00:00:00"/>
    <x v="1"/>
    <x v="31"/>
    <n v="1602.23"/>
    <n v="90"/>
    <x v="0"/>
    <x v="2"/>
    <n v="1"/>
  </r>
  <r>
    <x v="902"/>
    <s v="Richard Lee"/>
    <n v="26"/>
    <x v="0"/>
    <x v="242"/>
    <d v="2025-12-31T00:00:00"/>
    <x v="4"/>
    <x v="14"/>
    <n v="3905.3"/>
    <n v="80"/>
    <x v="1"/>
    <x v="2"/>
    <n v="3"/>
  </r>
  <r>
    <x v="903"/>
    <s v="Anthony Garcia"/>
    <n v="56"/>
    <x v="0"/>
    <x v="198"/>
    <d v="2025-03-04T00:00:00"/>
    <x v="0"/>
    <x v="6"/>
    <n v="10882.46"/>
    <n v="0"/>
    <x v="2"/>
    <x v="0"/>
    <n v="4"/>
  </r>
  <r>
    <x v="904"/>
    <s v="Karen Brown"/>
    <n v="40"/>
    <x v="1"/>
    <x v="467"/>
    <d v="2025-12-05T00:00:00"/>
    <x v="2"/>
    <x v="10"/>
    <n v="3645.87"/>
    <n v="70"/>
    <x v="1"/>
    <x v="3"/>
    <n v="4"/>
  </r>
  <r>
    <x v="905"/>
    <s v="Emily Perez"/>
    <n v="40"/>
    <x v="1"/>
    <x v="128"/>
    <d v="2025-04-13T00:00:00"/>
    <x v="2"/>
    <x v="33"/>
    <n v="5871.8"/>
    <n v="90"/>
    <x v="2"/>
    <x v="3"/>
    <n v="6"/>
  </r>
  <r>
    <x v="906"/>
    <s v="Barbara Smith"/>
    <n v="34"/>
    <x v="1"/>
    <x v="89"/>
    <d v="2024-02-07T00:00:00"/>
    <x v="2"/>
    <x v="21"/>
    <n v="2527.5100000000002"/>
    <n v="60"/>
    <x v="1"/>
    <x v="2"/>
    <n v="3"/>
  </r>
  <r>
    <x v="907"/>
    <s v="Lisa Brown"/>
    <n v="40"/>
    <x v="1"/>
    <x v="511"/>
    <d v="2024-08-20T00:00:00"/>
    <x v="0"/>
    <x v="0"/>
    <n v="11311.32"/>
    <n v="100"/>
    <x v="1"/>
    <x v="3"/>
    <n v="6"/>
  </r>
  <r>
    <x v="908"/>
    <s v="Brian White"/>
    <n v="35"/>
    <x v="0"/>
    <x v="251"/>
    <d v="2024-06-10T00:00:00"/>
    <x v="4"/>
    <x v="26"/>
    <n v="14294.04"/>
    <n v="80"/>
    <x v="0"/>
    <x v="2"/>
    <n v="6"/>
  </r>
  <r>
    <x v="909"/>
    <s v="Nancy White"/>
    <n v="15"/>
    <x v="1"/>
    <x v="155"/>
    <d v="2025-06-25T00:00:00"/>
    <x v="3"/>
    <x v="23"/>
    <n v="3325.48"/>
    <n v="60"/>
    <x v="0"/>
    <x v="4"/>
    <n v="2"/>
  </r>
  <r>
    <x v="910"/>
    <s v="Brian White"/>
    <n v="84"/>
    <x v="0"/>
    <x v="515"/>
    <d v="2025-12-21T00:00:00"/>
    <x v="2"/>
    <x v="8"/>
    <n v="583.35"/>
    <n v="50"/>
    <x v="2"/>
    <x v="1"/>
    <n v="1"/>
  </r>
  <r>
    <x v="911"/>
    <s v="Matthew Ramirez"/>
    <n v="54"/>
    <x v="0"/>
    <x v="516"/>
    <d v="2024-02-06T00:00:00"/>
    <x v="2"/>
    <x v="33"/>
    <n v="6644.98"/>
    <n v="90"/>
    <x v="0"/>
    <x v="0"/>
    <n v="6"/>
  </r>
  <r>
    <x v="912"/>
    <s v="Kevin Miller"/>
    <n v="75"/>
    <x v="0"/>
    <x v="312"/>
    <d v="2025-07-06T00:00:00"/>
    <x v="4"/>
    <x v="11"/>
    <n v="6709.11"/>
    <n v="80"/>
    <x v="2"/>
    <x v="1"/>
    <n v="4"/>
  </r>
  <r>
    <x v="913"/>
    <s v="Kenneth Rodriguez"/>
    <n v="32"/>
    <x v="0"/>
    <x v="291"/>
    <d v="2024-04-07T00:00:00"/>
    <x v="5"/>
    <x v="28"/>
    <n v="7216.27"/>
    <n v="80"/>
    <x v="1"/>
    <x v="2"/>
    <n v="4"/>
  </r>
  <r>
    <x v="914"/>
    <s v="Matthew Young"/>
    <n v="45"/>
    <x v="0"/>
    <x v="34"/>
    <d v="2025-03-30T00:00:00"/>
    <x v="5"/>
    <x v="34"/>
    <n v="13906.96"/>
    <n v="80"/>
    <x v="0"/>
    <x v="3"/>
    <n v="9"/>
  </r>
  <r>
    <x v="915"/>
    <s v="Thomas Lopez"/>
    <n v="68"/>
    <x v="0"/>
    <x v="35"/>
    <d v="2025-08-19T00:00:00"/>
    <x v="4"/>
    <x v="18"/>
    <n v="19370.95"/>
    <n v="70"/>
    <x v="1"/>
    <x v="1"/>
    <n v="10"/>
  </r>
  <r>
    <x v="916"/>
    <s v="Ashley Johnson"/>
    <n v="42"/>
    <x v="1"/>
    <x v="487"/>
    <d v="2024-06-16T00:00:00"/>
    <x v="2"/>
    <x v="10"/>
    <n v="4618.17"/>
    <n v="50"/>
    <x v="2"/>
    <x v="3"/>
    <n v="7"/>
  </r>
  <r>
    <x v="917"/>
    <s v="Brian Clark"/>
    <n v="35"/>
    <x v="0"/>
    <x v="361"/>
    <d v="2025-01-07T00:00:00"/>
    <x v="2"/>
    <x v="10"/>
    <n v="4249.75"/>
    <n v="70"/>
    <x v="2"/>
    <x v="2"/>
    <n v="3"/>
  </r>
  <r>
    <x v="918"/>
    <s v="Daniel Perez"/>
    <n v="60"/>
    <x v="0"/>
    <x v="294"/>
    <d v="2024-01-06T00:00:00"/>
    <x v="0"/>
    <x v="0"/>
    <n v="6532.53"/>
    <n v="80"/>
    <x v="2"/>
    <x v="0"/>
    <n v="4"/>
  </r>
  <r>
    <x v="919"/>
    <s v="Michelle Rodriguez"/>
    <n v="60"/>
    <x v="1"/>
    <x v="463"/>
    <d v="2024-12-07T00:00:00"/>
    <x v="5"/>
    <x v="35"/>
    <n v="5729.57"/>
    <n v="60"/>
    <x v="0"/>
    <x v="0"/>
    <n v="5"/>
  </r>
  <r>
    <x v="920"/>
    <s v="Nancy Lee"/>
    <n v="21"/>
    <x v="1"/>
    <x v="517"/>
    <d v="2025-06-07T00:00:00"/>
    <x v="2"/>
    <x v="16"/>
    <n v="2997.87"/>
    <n v="70"/>
    <x v="0"/>
    <x v="2"/>
    <n v="2"/>
  </r>
  <r>
    <x v="921"/>
    <s v="Thomas Williams"/>
    <n v="54"/>
    <x v="0"/>
    <x v="85"/>
    <d v="2024-11-04T00:00:00"/>
    <x v="2"/>
    <x v="10"/>
    <n v="7526.27"/>
    <n v="80"/>
    <x v="0"/>
    <x v="0"/>
    <n v="6"/>
  </r>
  <r>
    <x v="922"/>
    <s v="Emily Harris"/>
    <n v="29"/>
    <x v="1"/>
    <x v="105"/>
    <d v="2024-06-19T00:00:00"/>
    <x v="1"/>
    <x v="2"/>
    <n v="4378.0200000000004"/>
    <n v="80"/>
    <x v="0"/>
    <x v="2"/>
    <n v="2"/>
  </r>
  <r>
    <x v="923"/>
    <s v="Linda Smith"/>
    <n v="36"/>
    <x v="1"/>
    <x v="301"/>
    <d v="2024-10-25T00:00:00"/>
    <x v="4"/>
    <x v="27"/>
    <n v="17866.580000000002"/>
    <n v="90"/>
    <x v="2"/>
    <x v="3"/>
    <n v="8"/>
  </r>
  <r>
    <x v="924"/>
    <s v="Michael White"/>
    <n v="79"/>
    <x v="0"/>
    <x v="518"/>
    <d v="2025-03-22T00:00:00"/>
    <x v="0"/>
    <x v="20"/>
    <n v="5517.67"/>
    <n v="90"/>
    <x v="0"/>
    <x v="1"/>
    <n v="4"/>
  </r>
  <r>
    <x v="925"/>
    <s v="Lisa Williams"/>
    <n v="48"/>
    <x v="1"/>
    <x v="480"/>
    <d v="2024-10-12T00:00:00"/>
    <x v="5"/>
    <x v="30"/>
    <n v="14595.77"/>
    <n v="80"/>
    <x v="0"/>
    <x v="3"/>
    <n v="7"/>
  </r>
  <r>
    <x v="926"/>
    <s v="Daniel Ramirez"/>
    <n v="42"/>
    <x v="0"/>
    <x v="175"/>
    <d v="2024-12-01T00:00:00"/>
    <x v="2"/>
    <x v="8"/>
    <n v="543.05999999999995"/>
    <n v="50"/>
    <x v="0"/>
    <x v="3"/>
    <n v="1"/>
  </r>
  <r>
    <x v="927"/>
    <s v="Linda Hernandez"/>
    <n v="25"/>
    <x v="1"/>
    <x v="469"/>
    <d v="2024-01-30T00:00:00"/>
    <x v="4"/>
    <x v="13"/>
    <n v="5082.0600000000004"/>
    <n v="0"/>
    <x v="1"/>
    <x v="2"/>
    <n v="5"/>
  </r>
  <r>
    <x v="928"/>
    <s v="Joshua Jackson"/>
    <n v="38"/>
    <x v="0"/>
    <x v="331"/>
    <d v="2025-07-10T00:00:00"/>
    <x v="1"/>
    <x v="31"/>
    <n v="2871.13"/>
    <n v="90"/>
    <x v="0"/>
    <x v="3"/>
    <n v="2"/>
  </r>
  <r>
    <x v="929"/>
    <s v="Sandra Anderson"/>
    <n v="67"/>
    <x v="1"/>
    <x v="38"/>
    <d v="2024-12-19T00:00:00"/>
    <x v="4"/>
    <x v="18"/>
    <n v="4425.1499999999996"/>
    <n v="70"/>
    <x v="0"/>
    <x v="1"/>
    <n v="2"/>
  </r>
  <r>
    <x v="930"/>
    <s v="Jennifer Walker"/>
    <n v="28"/>
    <x v="1"/>
    <x v="361"/>
    <d v="2025-01-05T00:00:00"/>
    <x v="1"/>
    <x v="7"/>
    <n v="1958.56"/>
    <n v="80"/>
    <x v="0"/>
    <x v="2"/>
    <n v="1"/>
  </r>
  <r>
    <x v="931"/>
    <s v="Mark Johnson"/>
    <n v="68"/>
    <x v="0"/>
    <x v="262"/>
    <d v="2025-04-22T00:00:00"/>
    <x v="2"/>
    <x v="8"/>
    <n v="2268.81"/>
    <n v="80"/>
    <x v="0"/>
    <x v="1"/>
    <n v="2"/>
  </r>
  <r>
    <x v="932"/>
    <s v="James Jones"/>
    <n v="41"/>
    <x v="0"/>
    <x v="82"/>
    <d v="2025-09-04T00:00:00"/>
    <x v="5"/>
    <x v="12"/>
    <n v="22621.47"/>
    <n v="70"/>
    <x v="2"/>
    <x v="3"/>
    <n v="9"/>
  </r>
  <r>
    <x v="933"/>
    <s v="Mary Young"/>
    <n v="46"/>
    <x v="1"/>
    <x v="190"/>
    <d v="2025-11-20T00:00:00"/>
    <x v="4"/>
    <x v="14"/>
    <n v="3972.12"/>
    <n v="50"/>
    <x v="1"/>
    <x v="3"/>
    <n v="3"/>
  </r>
  <r>
    <x v="934"/>
    <s v="Susan Brown"/>
    <n v="16"/>
    <x v="1"/>
    <x v="130"/>
    <d v="2024-05-03T00:00:00"/>
    <x v="3"/>
    <x v="9"/>
    <n v="921.67"/>
    <n v="100"/>
    <x v="0"/>
    <x v="4"/>
    <n v="1"/>
  </r>
  <r>
    <x v="935"/>
    <s v="Elizabeth Rodriguez"/>
    <n v="48"/>
    <x v="1"/>
    <x v="519"/>
    <d v="2024-08-01T00:00:00"/>
    <x v="1"/>
    <x v="15"/>
    <n v="3783.41"/>
    <n v="70"/>
    <x v="1"/>
    <x v="3"/>
    <n v="2"/>
  </r>
  <r>
    <x v="936"/>
    <s v="David Anderson"/>
    <n v="31"/>
    <x v="0"/>
    <x v="61"/>
    <d v="2025-01-27T00:00:00"/>
    <x v="1"/>
    <x v="31"/>
    <n v="3007.82"/>
    <n v="60"/>
    <x v="1"/>
    <x v="2"/>
    <n v="3"/>
  </r>
  <r>
    <x v="937"/>
    <s v="Michael Jones"/>
    <n v="12"/>
    <x v="0"/>
    <x v="520"/>
    <d v="2025-03-22T00:00:00"/>
    <x v="3"/>
    <x v="37"/>
    <n v="6547.21"/>
    <n v="80"/>
    <x v="2"/>
    <x v="4"/>
    <n v="5"/>
  </r>
  <r>
    <x v="938"/>
    <s v="Richard Wilson"/>
    <n v="79"/>
    <x v="0"/>
    <x v="164"/>
    <d v="2025-08-28T00:00:00"/>
    <x v="5"/>
    <x v="30"/>
    <n v="6760.22"/>
    <n v="90"/>
    <x v="0"/>
    <x v="1"/>
    <n v="6"/>
  </r>
  <r>
    <x v="939"/>
    <s v="Robert Perez"/>
    <n v="48"/>
    <x v="0"/>
    <x v="288"/>
    <d v="2025-04-24T00:00:00"/>
    <x v="2"/>
    <x v="16"/>
    <n v="3865.55"/>
    <n v="80"/>
    <x v="0"/>
    <x v="3"/>
    <n v="3"/>
  </r>
  <r>
    <x v="940"/>
    <s v="Steven Young"/>
    <n v="43"/>
    <x v="0"/>
    <x v="484"/>
    <d v="2024-04-07T00:00:00"/>
    <x v="2"/>
    <x v="10"/>
    <n v="5921.38"/>
    <n v="70"/>
    <x v="0"/>
    <x v="3"/>
    <n v="6"/>
  </r>
  <r>
    <x v="941"/>
    <s v="Christopher Lewis"/>
    <n v="34"/>
    <x v="0"/>
    <x v="8"/>
    <d v="2024-11-20T00:00:00"/>
    <x v="4"/>
    <x v="18"/>
    <n v="11299.89"/>
    <n v="100"/>
    <x v="1"/>
    <x v="2"/>
    <n v="9"/>
  </r>
  <r>
    <x v="942"/>
    <s v="Barbara Jackson"/>
    <n v="15"/>
    <x v="1"/>
    <x v="90"/>
    <d v="2024-04-14T00:00:00"/>
    <x v="3"/>
    <x v="23"/>
    <n v="4061.69"/>
    <n v="60"/>
    <x v="0"/>
    <x v="4"/>
    <n v="4"/>
  </r>
  <r>
    <x v="943"/>
    <s v="Ashley White"/>
    <n v="9"/>
    <x v="1"/>
    <x v="249"/>
    <d v="2024-08-16T00:00:00"/>
    <x v="3"/>
    <x v="23"/>
    <n v="1243.02"/>
    <n v="80"/>
    <x v="0"/>
    <x v="4"/>
    <n v="1"/>
  </r>
  <r>
    <x v="944"/>
    <s v="Andrew Ramirez"/>
    <n v="70"/>
    <x v="0"/>
    <x v="283"/>
    <d v="2024-11-03T00:00:00"/>
    <x v="4"/>
    <x v="18"/>
    <n v="18613.240000000002"/>
    <n v="80"/>
    <x v="0"/>
    <x v="1"/>
    <n v="7"/>
  </r>
  <r>
    <x v="945"/>
    <s v="Betty Robinson"/>
    <n v="31"/>
    <x v="1"/>
    <x v="521"/>
    <d v="2024-08-25T00:00:00"/>
    <x v="5"/>
    <x v="12"/>
    <n v="4541.45"/>
    <n v="60"/>
    <x v="0"/>
    <x v="2"/>
    <n v="3"/>
  </r>
  <r>
    <x v="946"/>
    <s v="Kevin Harris"/>
    <n v="65"/>
    <x v="0"/>
    <x v="10"/>
    <d v="2025-11-11T00:00:00"/>
    <x v="0"/>
    <x v="1"/>
    <n v="14897.36"/>
    <n v="100"/>
    <x v="0"/>
    <x v="0"/>
    <n v="5"/>
  </r>
  <r>
    <x v="947"/>
    <s v="Kenneth Lewis"/>
    <n v="60"/>
    <x v="0"/>
    <x v="329"/>
    <d v="2025-04-19T00:00:00"/>
    <x v="4"/>
    <x v="18"/>
    <n v="5557.59"/>
    <n v="70"/>
    <x v="2"/>
    <x v="0"/>
    <n v="5"/>
  </r>
  <r>
    <x v="948"/>
    <s v="Carol Jones"/>
    <n v="59"/>
    <x v="1"/>
    <x v="6"/>
    <d v="2024-02-15T00:00:00"/>
    <x v="0"/>
    <x v="29"/>
    <n v="14526.47"/>
    <n v="90"/>
    <x v="0"/>
    <x v="0"/>
    <n v="6"/>
  </r>
  <r>
    <x v="949"/>
    <s v="Lisa Lopez"/>
    <n v="33"/>
    <x v="1"/>
    <x v="477"/>
    <d v="2025-11-07T00:00:00"/>
    <x v="2"/>
    <x v="33"/>
    <n v="6592.81"/>
    <n v="80"/>
    <x v="1"/>
    <x v="2"/>
    <n v="7"/>
  </r>
  <r>
    <x v="950"/>
    <s v="Elizabeth Johnson"/>
    <n v="45"/>
    <x v="1"/>
    <x v="356"/>
    <d v="2024-11-06T00:00:00"/>
    <x v="2"/>
    <x v="21"/>
    <n v="5811.71"/>
    <n v="80"/>
    <x v="0"/>
    <x v="3"/>
    <n v="4"/>
  </r>
  <r>
    <x v="951"/>
    <s v="Barbara Harris"/>
    <n v="72"/>
    <x v="1"/>
    <x v="234"/>
    <d v="2024-07-20T00:00:00"/>
    <x v="4"/>
    <x v="27"/>
    <n v="15420.8"/>
    <n v="60"/>
    <x v="2"/>
    <x v="1"/>
    <n v="7"/>
  </r>
  <r>
    <x v="952"/>
    <s v="Nancy Jones"/>
    <n v="31"/>
    <x v="1"/>
    <x v="383"/>
    <d v="2024-02-16T00:00:00"/>
    <x v="4"/>
    <x v="13"/>
    <n v="28706.36"/>
    <n v="80"/>
    <x v="0"/>
    <x v="2"/>
    <n v="11"/>
  </r>
  <r>
    <x v="953"/>
    <s v="Sandra Thompson"/>
    <n v="78"/>
    <x v="1"/>
    <x v="522"/>
    <d v="2024-06-25T00:00:00"/>
    <x v="0"/>
    <x v="0"/>
    <n v="10923.17"/>
    <n v="90"/>
    <x v="1"/>
    <x v="1"/>
    <n v="6"/>
  </r>
  <r>
    <x v="954"/>
    <s v="Jennifer Clark"/>
    <n v="52"/>
    <x v="1"/>
    <x v="523"/>
    <d v="2025-02-17T00:00:00"/>
    <x v="5"/>
    <x v="28"/>
    <n v="20558.88"/>
    <n v="90"/>
    <x v="0"/>
    <x v="0"/>
    <n v="9"/>
  </r>
  <r>
    <x v="955"/>
    <s v="Kenneth Wilson"/>
    <n v="41"/>
    <x v="0"/>
    <x v="524"/>
    <d v="2025-11-28T00:00:00"/>
    <x v="2"/>
    <x v="5"/>
    <n v="759.83"/>
    <n v="70"/>
    <x v="0"/>
    <x v="3"/>
    <n v="1"/>
  </r>
  <r>
    <x v="956"/>
    <s v="Sandra Anderson"/>
    <n v="32"/>
    <x v="1"/>
    <x v="152"/>
    <d v="2025-02-11T00:00:00"/>
    <x v="1"/>
    <x v="15"/>
    <n v="2012.29"/>
    <n v="70"/>
    <x v="0"/>
    <x v="2"/>
    <n v="2"/>
  </r>
  <r>
    <x v="957"/>
    <s v="Paul Walker"/>
    <n v="39"/>
    <x v="0"/>
    <x v="507"/>
    <d v="2024-06-13T00:00:00"/>
    <x v="4"/>
    <x v="11"/>
    <n v="16229.56"/>
    <n v="90"/>
    <x v="0"/>
    <x v="3"/>
    <n v="6"/>
  </r>
  <r>
    <x v="958"/>
    <s v="Joseph Jackson"/>
    <n v="52"/>
    <x v="0"/>
    <x v="377"/>
    <d v="2024-01-19T00:00:00"/>
    <x v="2"/>
    <x v="5"/>
    <n v="8478.0300000000007"/>
    <n v="70"/>
    <x v="2"/>
    <x v="0"/>
    <n v="6"/>
  </r>
  <r>
    <x v="959"/>
    <s v="Michelle Robinson"/>
    <n v="58"/>
    <x v="1"/>
    <x v="336"/>
    <d v="2024-07-07T00:00:00"/>
    <x v="5"/>
    <x v="28"/>
    <n v="23264.42"/>
    <n v="60"/>
    <x v="0"/>
    <x v="0"/>
    <n v="10"/>
  </r>
  <r>
    <x v="960"/>
    <s v="Betty Garcia"/>
    <n v="82"/>
    <x v="1"/>
    <x v="400"/>
    <d v="2025-01-01T00:00:00"/>
    <x v="2"/>
    <x v="10"/>
    <n v="4983.18"/>
    <n v="80"/>
    <x v="2"/>
    <x v="1"/>
    <n v="4"/>
  </r>
  <r>
    <x v="961"/>
    <s v="Jennifer Martin"/>
    <n v="47"/>
    <x v="1"/>
    <x v="525"/>
    <d v="2025-03-25T00:00:00"/>
    <x v="2"/>
    <x v="10"/>
    <n v="7613.41"/>
    <n v="90"/>
    <x v="0"/>
    <x v="3"/>
    <n v="6"/>
  </r>
  <r>
    <x v="962"/>
    <s v="William Jones"/>
    <n v="37"/>
    <x v="0"/>
    <x v="2"/>
    <d v="2024-04-06T00:00:00"/>
    <x v="1"/>
    <x v="32"/>
    <n v="2431.81"/>
    <n v="80"/>
    <x v="0"/>
    <x v="3"/>
    <n v="1"/>
  </r>
  <r>
    <x v="963"/>
    <s v="Mary Jackson"/>
    <n v="61"/>
    <x v="1"/>
    <x v="107"/>
    <d v="2024-07-07T00:00:00"/>
    <x v="2"/>
    <x v="33"/>
    <n v="1073.8900000000001"/>
    <n v="70"/>
    <x v="1"/>
    <x v="0"/>
    <n v="2"/>
  </r>
  <r>
    <x v="964"/>
    <s v="Emily Ramirez"/>
    <n v="70"/>
    <x v="1"/>
    <x v="169"/>
    <d v="2025-04-01T00:00:00"/>
    <x v="0"/>
    <x v="19"/>
    <n v="19302.61"/>
    <n v="100"/>
    <x v="2"/>
    <x v="1"/>
    <n v="10"/>
  </r>
  <r>
    <x v="965"/>
    <s v="Kimberly Anderson"/>
    <n v="68"/>
    <x v="1"/>
    <x v="351"/>
    <d v="2025-05-20T00:00:00"/>
    <x v="2"/>
    <x v="21"/>
    <n v="4686.18"/>
    <n v="100"/>
    <x v="0"/>
    <x v="1"/>
    <n v="6"/>
  </r>
  <r>
    <x v="966"/>
    <s v="Karen Martin"/>
    <n v="7"/>
    <x v="1"/>
    <x v="394"/>
    <d v="2025-09-26T00:00:00"/>
    <x v="3"/>
    <x v="37"/>
    <n v="3301.8"/>
    <n v="70"/>
    <x v="2"/>
    <x v="4"/>
    <n v="3"/>
  </r>
  <r>
    <x v="967"/>
    <s v="Jessica Hernandez"/>
    <n v="57"/>
    <x v="1"/>
    <x v="369"/>
    <d v="2024-11-03T00:00:00"/>
    <x v="4"/>
    <x v="11"/>
    <n v="5980.45"/>
    <n v="100"/>
    <x v="0"/>
    <x v="0"/>
    <n v="3"/>
  </r>
  <r>
    <x v="968"/>
    <s v="Donna Thomas"/>
    <n v="34"/>
    <x v="1"/>
    <x v="359"/>
    <d v="2025-10-06T00:00:00"/>
    <x v="2"/>
    <x v="10"/>
    <n v="5054.45"/>
    <n v="60"/>
    <x v="1"/>
    <x v="2"/>
    <n v="4"/>
  </r>
  <r>
    <x v="969"/>
    <s v="Thomas Brown"/>
    <n v="52"/>
    <x v="0"/>
    <x v="526"/>
    <d v="2025-08-09T00:00:00"/>
    <x v="1"/>
    <x v="31"/>
    <n v="3102.51"/>
    <n v="90"/>
    <x v="0"/>
    <x v="0"/>
    <n v="2"/>
  </r>
  <r>
    <x v="970"/>
    <s v="Joshua Taylor"/>
    <n v="66"/>
    <x v="0"/>
    <x v="93"/>
    <d v="2025-01-19T00:00:00"/>
    <x v="4"/>
    <x v="18"/>
    <n v="7068.71"/>
    <n v="70"/>
    <x v="2"/>
    <x v="5"/>
    <n v="7"/>
  </r>
  <r>
    <x v="971"/>
    <s v="James Garcia"/>
    <n v="59"/>
    <x v="0"/>
    <x v="316"/>
    <d v="2024-03-29T00:00:00"/>
    <x v="4"/>
    <x v="13"/>
    <n v="7018.51"/>
    <n v="80"/>
    <x v="0"/>
    <x v="0"/>
    <n v="4"/>
  </r>
  <r>
    <x v="972"/>
    <s v="Donna Young"/>
    <n v="17"/>
    <x v="1"/>
    <x v="118"/>
    <d v="2024-11-30T00:00:00"/>
    <x v="3"/>
    <x v="23"/>
    <n v="895.4"/>
    <n v="70"/>
    <x v="1"/>
    <x v="4"/>
    <n v="1"/>
  </r>
  <r>
    <x v="973"/>
    <s v="Linda Lewis"/>
    <n v="25"/>
    <x v="1"/>
    <x v="227"/>
    <d v="2025-07-20T00:00:00"/>
    <x v="2"/>
    <x v="8"/>
    <n v="5857.12"/>
    <n v="70"/>
    <x v="0"/>
    <x v="2"/>
    <n v="5"/>
  </r>
  <r>
    <x v="974"/>
    <s v="Emily Walker"/>
    <n v="22"/>
    <x v="1"/>
    <x v="394"/>
    <d v="2025-09-26T00:00:00"/>
    <x v="1"/>
    <x v="15"/>
    <n v="5212.57"/>
    <n v="90"/>
    <x v="0"/>
    <x v="2"/>
    <n v="3"/>
  </r>
  <r>
    <x v="975"/>
    <s v="Kenneth Garcia"/>
    <n v="73"/>
    <x v="0"/>
    <x v="400"/>
    <d v="2025-01-04T00:00:00"/>
    <x v="0"/>
    <x v="29"/>
    <n v="18256.04"/>
    <n v="70"/>
    <x v="1"/>
    <x v="1"/>
    <n v="7"/>
  </r>
  <r>
    <x v="976"/>
    <s v="Carol Thomas"/>
    <n v="40"/>
    <x v="1"/>
    <x v="51"/>
    <d v="2025-04-14T00:00:00"/>
    <x v="0"/>
    <x v="0"/>
    <n v="22950.92"/>
    <n v="80"/>
    <x v="0"/>
    <x v="3"/>
    <n v="10"/>
  </r>
  <r>
    <x v="977"/>
    <s v="Andrew Young"/>
    <n v="65"/>
    <x v="0"/>
    <x v="18"/>
    <d v="2024-12-30T00:00:00"/>
    <x v="2"/>
    <x v="21"/>
    <n v="9174.23"/>
    <n v="60"/>
    <x v="2"/>
    <x v="0"/>
    <n v="7"/>
  </r>
  <r>
    <x v="978"/>
    <s v="Donna Williams"/>
    <n v="18"/>
    <x v="1"/>
    <x v="438"/>
    <d v="2025-09-03T00:00:00"/>
    <x v="2"/>
    <x v="33"/>
    <n v="2502.7600000000002"/>
    <n v="80"/>
    <x v="0"/>
    <x v="2"/>
    <n v="3"/>
  </r>
  <r>
    <x v="979"/>
    <s v="Daniel Jackson"/>
    <n v="43"/>
    <x v="0"/>
    <x v="232"/>
    <d v="2025-10-02T00:00:00"/>
    <x v="1"/>
    <x v="31"/>
    <n v="6927.74"/>
    <n v="90"/>
    <x v="0"/>
    <x v="3"/>
    <n v="3"/>
  </r>
  <r>
    <x v="980"/>
    <s v="Sarah Robinson"/>
    <n v="54"/>
    <x v="1"/>
    <x v="495"/>
    <d v="2024-09-09T00:00:00"/>
    <x v="2"/>
    <x v="8"/>
    <n v="4663.1899999999996"/>
    <n v="80"/>
    <x v="0"/>
    <x v="0"/>
    <n v="5"/>
  </r>
  <r>
    <x v="981"/>
    <s v="Susan Lewis"/>
    <n v="55"/>
    <x v="1"/>
    <x v="369"/>
    <d v="2024-11-08T00:00:00"/>
    <x v="4"/>
    <x v="11"/>
    <n v="20435.29"/>
    <n v="70"/>
    <x v="2"/>
    <x v="0"/>
    <n v="8"/>
  </r>
  <r>
    <x v="982"/>
    <s v="Mary Martin"/>
    <n v="81"/>
    <x v="1"/>
    <x v="527"/>
    <d v="2025-12-20T00:00:00"/>
    <x v="2"/>
    <x v="8"/>
    <n v="1278.31"/>
    <n v="60"/>
    <x v="1"/>
    <x v="1"/>
    <n v="2"/>
  </r>
  <r>
    <x v="983"/>
    <s v="Richard Perez"/>
    <n v="44"/>
    <x v="0"/>
    <x v="330"/>
    <d v="2025-01-21T00:00:00"/>
    <x v="1"/>
    <x v="32"/>
    <n v="6875.52"/>
    <n v="70"/>
    <x v="0"/>
    <x v="3"/>
    <n v="3"/>
  </r>
  <r>
    <x v="984"/>
    <s v="Elizabeth Lopez"/>
    <n v="57"/>
    <x v="1"/>
    <x v="114"/>
    <d v="2024-08-17T00:00:00"/>
    <x v="5"/>
    <x v="28"/>
    <n v="14894.02"/>
    <n v="60"/>
    <x v="0"/>
    <x v="0"/>
    <n v="6"/>
  </r>
  <r>
    <x v="985"/>
    <s v="Sandra Lewis"/>
    <n v="55"/>
    <x v="1"/>
    <x v="528"/>
    <d v="2025-06-17T00:00:00"/>
    <x v="4"/>
    <x v="27"/>
    <n v="16185.6"/>
    <n v="100"/>
    <x v="0"/>
    <x v="0"/>
    <n v="8"/>
  </r>
  <r>
    <x v="986"/>
    <s v="Sarah Garcia"/>
    <n v="64"/>
    <x v="1"/>
    <x v="143"/>
    <d v="2024-09-09T00:00:00"/>
    <x v="2"/>
    <x v="5"/>
    <n v="4017.98"/>
    <n v="100"/>
    <x v="0"/>
    <x v="0"/>
    <n v="4"/>
  </r>
  <r>
    <x v="987"/>
    <s v="Dorothy Thompson"/>
    <n v="1"/>
    <x v="1"/>
    <x v="529"/>
    <d v="2025-08-26T00:00:00"/>
    <x v="3"/>
    <x v="24"/>
    <n v="1260.77"/>
    <n v="80"/>
    <x v="1"/>
    <x v="4"/>
    <n v="2"/>
  </r>
  <r>
    <x v="988"/>
    <s v="Barbara Rodriguez"/>
    <n v="14"/>
    <x v="1"/>
    <x v="394"/>
    <d v="2025-09-25T00:00:00"/>
    <x v="3"/>
    <x v="37"/>
    <n v="2626.23"/>
    <n v="60"/>
    <x v="1"/>
    <x v="4"/>
    <n v="2"/>
  </r>
  <r>
    <x v="989"/>
    <s v="Steven White"/>
    <n v="14"/>
    <x v="0"/>
    <x v="258"/>
    <d v="2024-07-12T00:00:00"/>
    <x v="3"/>
    <x v="22"/>
    <n v="713.28"/>
    <n v="0"/>
    <x v="2"/>
    <x v="4"/>
    <n v="1"/>
  </r>
  <r>
    <x v="990"/>
    <s v="Dorothy Taylor"/>
    <n v="64"/>
    <x v="1"/>
    <x v="283"/>
    <d v="2024-10-31T00:00:00"/>
    <x v="2"/>
    <x v="10"/>
    <n v="5579.15"/>
    <n v="60"/>
    <x v="1"/>
    <x v="0"/>
    <n v="4"/>
  </r>
  <r>
    <x v="991"/>
    <s v="Barbara Lee"/>
    <n v="2"/>
    <x v="1"/>
    <x v="467"/>
    <d v="2025-12-04T00:00:00"/>
    <x v="3"/>
    <x v="25"/>
    <n v="3033.99"/>
    <n v="80"/>
    <x v="0"/>
    <x v="4"/>
    <n v="3"/>
  </r>
  <r>
    <x v="992"/>
    <s v="Thomas Miller"/>
    <n v="43"/>
    <x v="0"/>
    <x v="374"/>
    <d v="2025-11-22T00:00:00"/>
    <x v="1"/>
    <x v="2"/>
    <n v="4133.9399999999996"/>
    <n v="50"/>
    <x v="0"/>
    <x v="3"/>
    <n v="2"/>
  </r>
  <r>
    <x v="993"/>
    <s v="Joseph Hernandez"/>
    <n v="10"/>
    <x v="0"/>
    <x v="124"/>
    <d v="2025-07-07T00:00:00"/>
    <x v="3"/>
    <x v="37"/>
    <n v="4374.76"/>
    <n v="90"/>
    <x v="2"/>
    <x v="4"/>
    <n v="4"/>
  </r>
  <r>
    <x v="994"/>
    <s v="Kimberly Lopez"/>
    <n v="51"/>
    <x v="1"/>
    <x v="530"/>
    <d v="2024-10-06T00:00:00"/>
    <x v="0"/>
    <x v="0"/>
    <n v="7839.78"/>
    <n v="90"/>
    <x v="1"/>
    <x v="0"/>
    <n v="3"/>
  </r>
  <r>
    <x v="995"/>
    <s v="Joshua Miller"/>
    <n v="58"/>
    <x v="0"/>
    <x v="528"/>
    <d v="2025-06-13T00:00:00"/>
    <x v="0"/>
    <x v="19"/>
    <n v="10021"/>
    <n v="90"/>
    <x v="0"/>
    <x v="0"/>
    <n v="4"/>
  </r>
  <r>
    <x v="996"/>
    <s v="Daniel White"/>
    <n v="75"/>
    <x v="0"/>
    <x v="476"/>
    <d v="2025-10-14T00:00:00"/>
    <x v="2"/>
    <x v="33"/>
    <n v="6377.65"/>
    <n v="60"/>
    <x v="1"/>
    <x v="1"/>
    <n v="5"/>
  </r>
  <r>
    <x v="997"/>
    <s v="Ashley Brown"/>
    <n v="32"/>
    <x v="1"/>
    <x v="531"/>
    <d v="2025-04-23T00:00:00"/>
    <x v="1"/>
    <x v="32"/>
    <n v="1020.62"/>
    <n v="60"/>
    <x v="0"/>
    <x v="2"/>
    <n v="1"/>
  </r>
  <r>
    <x v="998"/>
    <s v="Robert Ramirez"/>
    <n v="56"/>
    <x v="0"/>
    <x v="532"/>
    <d v="2025-08-09T00:00:00"/>
    <x v="1"/>
    <x v="15"/>
    <n v="2315.06"/>
    <n v="70"/>
    <x v="0"/>
    <x v="0"/>
    <n v="1"/>
  </r>
  <r>
    <x v="999"/>
    <s v="Jennifer Ramirez"/>
    <n v="18"/>
    <x v="1"/>
    <x v="472"/>
    <d v="2024-03-02T00:00:00"/>
    <x v="2"/>
    <x v="16"/>
    <n v="2235.16"/>
    <n v="100"/>
    <x v="2"/>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8766D-B43F-4F25-892E-9E3D2DDB7C49}"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4:B20"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axis="axisRow" dataField="1" showAll="0" sortType="descending">
      <items count="7">
        <item x="1"/>
        <item x="2"/>
        <item x="3"/>
        <item x="0"/>
        <item x="4"/>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v="3"/>
    </i>
    <i>
      <x/>
    </i>
    <i>
      <x v="2"/>
    </i>
    <i>
      <x v="1"/>
    </i>
    <i>
      <x v="4"/>
    </i>
    <i>
      <x v="5"/>
    </i>
  </rowItems>
  <colItems count="1">
    <i/>
  </colItems>
  <dataFields count="1">
    <dataField name="Count of Age category" fld="1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DE0F6-399A-4035-98E0-A8C532960C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dataField="1" numFmtId="165" showAll="0"/>
    <pivotField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Total bil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9EF81-610D-4088-A93A-84EC45748A8A}"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G7:H13"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dataField="1" showAll="0">
      <items count="7">
        <item x="0"/>
        <item x="1"/>
        <item x="2"/>
        <item x="5"/>
        <item x="4"/>
        <item x="3"/>
        <item t="default"/>
      </items>
    </pivotField>
    <pivotField showAll="0"/>
    <pivotField numFmtId="165" showAll="0"/>
    <pivotField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x v="5"/>
    </i>
  </rowItems>
  <colItems count="1">
    <i/>
  </colItems>
  <dataFields count="1">
    <dataField name="Count of Department" fld="6"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E15CE5-DED2-4B9A-9FBD-CBE6D605C81F}"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7:B10"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axis="axisRow" dataField="1" showAll="0">
      <items count="4">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3">
    <i>
      <x/>
    </i>
    <i>
      <x v="1"/>
    </i>
    <i>
      <x v="2"/>
    </i>
  </rowItems>
  <colItems count="1">
    <i/>
  </colItems>
  <dataFields count="1">
    <dataField name="Count of Payment Status" fld="1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6E17D5-EA77-404B-B46A-1C88E9D79A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stay lenght"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D20542-3DAC-47B3-80EB-4072A8FCA1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pivotField numFmtId="165" showAll="0"/>
    <pivotField dataField="1"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Insurance Coverage %" fld="9"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0BAF62-D1EA-45AF-AF8D-B2D80A2D243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4:E49" firstHeaderRow="1" firstDataRow="1"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axis="axisRow"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5"/>
    <field x="14"/>
    <field x="13"/>
    <field x="4"/>
  </rowFields>
  <rowItems count="35">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Count of Patient ID"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840FA2-B793-43C9-B6A6-0389647C0D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items count="39">
        <item x="2"/>
        <item h="1" x="14"/>
        <item h="1" x="32"/>
        <item h="1" x="25"/>
        <item h="1" x="8"/>
        <item h="1" x="1"/>
        <item h="1" x="6"/>
        <item h="1" x="22"/>
        <item h="1" x="0"/>
        <item h="1" x="37"/>
        <item h="1" x="15"/>
        <item h="1" x="18"/>
        <item h="1" x="36"/>
        <item h="1" x="3"/>
        <item h="1" x="29"/>
        <item h="1" x="10"/>
        <item h="1" x="5"/>
        <item h="1" x="24"/>
        <item h="1" x="34"/>
        <item h="1" x="4"/>
        <item h="1" x="31"/>
        <item h="1" x="16"/>
        <item h="1" x="19"/>
        <item h="1" x="26"/>
        <item h="1" x="20"/>
        <item h="1" x="13"/>
        <item h="1" x="35"/>
        <item h="1" x="17"/>
        <item h="1" x="12"/>
        <item h="1" x="28"/>
        <item h="1" x="21"/>
        <item h="1" x="11"/>
        <item h="1" x="9"/>
        <item h="1" x="7"/>
        <item h="1" x="27"/>
        <item h="1" x="30"/>
        <item h="1" x="23"/>
        <item h="1" x="33"/>
        <item t="default"/>
      </items>
    </pivotField>
    <pivotField numFmtId="165" showAll="0"/>
    <pivotField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No. of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D5A4B1-8347-4A6F-9ED5-479F73A8B75D}"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7:E9" firstHeaderRow="1" firstDataRow="1" firstDataCol="1"/>
  <pivotFields count="16">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dataField="1"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pivotField showAll="0"/>
    <pivotField numFmtId="165" showAll="0"/>
    <pivotField numFmtId="166"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Count of Gender"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4F466704-CCA9-4CCB-BEBE-48592EF45B21}" sourceName="Diagnosis">
  <pivotTables>
    <pivotTable tabId="3" name="PivotTable6"/>
  </pivotTables>
  <data>
    <tabular pivotCacheId="1756233535">
      <items count="38">
        <i x="2" s="1"/>
        <i x="14"/>
        <i x="32"/>
        <i x="25"/>
        <i x="8"/>
        <i x="1"/>
        <i x="6"/>
        <i x="22"/>
        <i x="0"/>
        <i x="37"/>
        <i x="15"/>
        <i x="18"/>
        <i x="36"/>
        <i x="3"/>
        <i x="29"/>
        <i x="10"/>
        <i x="5"/>
        <i x="24"/>
        <i x="34"/>
        <i x="4"/>
        <i x="31"/>
        <i x="16"/>
        <i x="19"/>
        <i x="26"/>
        <i x="20"/>
        <i x="13"/>
        <i x="35"/>
        <i x="17"/>
        <i x="12"/>
        <i x="28"/>
        <i x="21"/>
        <i x="11"/>
        <i x="9"/>
        <i x="7"/>
        <i x="27"/>
        <i x="30"/>
        <i x="23"/>
        <i x="3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FF9A195-7F63-43EA-8F07-B0657848E298}" sourceName="Department">
  <pivotTables>
    <pivotTable tabId="3" name="PivotTable7"/>
  </pivotTables>
  <data>
    <tabular pivotCacheId="1756233535">
      <items count="6">
        <i x="0" s="1"/>
        <i x="1" s="1"/>
        <i x="2"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B3F89DB5-A242-41C3-A914-1C754845709F}" sourceName="Years (Admission Date)">
  <pivotTables>
    <pivotTable tabId="3" name="PivotTable7"/>
  </pivotTables>
  <data>
    <tabular pivotCacheId="1756233535">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66F51B4B-C397-43D5-84F0-0483D50D64A2}" cache="Slicer_Diagnosis" caption="Diagnosis" rowHeight="257175"/>
  <slicer name="Department" xr10:uid="{342D4B8E-6264-4506-AFDD-8F6B05A4B95A}" cache="Slicer_Department" caption="Department" rowHeight="257175"/>
  <slicer name="Years (Admission Date)" xr10:uid="{767A1FDF-CAA9-4CCB-91AC-93D80DCC733D}" cache="Slicer_Years__Admission_Date" caption="Years (Admission D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B94F-B84F-492C-90DC-A1E658AEAA48}">
  <dimension ref="A3:H49"/>
  <sheetViews>
    <sheetView workbookViewId="0">
      <selection activeCell="C3" sqref="C3"/>
    </sheetView>
  </sheetViews>
  <sheetFormatPr defaultRowHeight="15" x14ac:dyDescent="0.25"/>
  <cols>
    <col min="1" max="1" width="14.42578125" bestFit="1" customWidth="1"/>
    <col min="2" max="2" width="21" bestFit="1" customWidth="1"/>
    <col min="3" max="3" width="31.42578125" bestFit="1" customWidth="1"/>
    <col min="4" max="4" width="13.42578125" bestFit="1" customWidth="1"/>
    <col min="5" max="5" width="18.42578125" bestFit="1" customWidth="1"/>
    <col min="7" max="7" width="18.7109375" bestFit="1" customWidth="1"/>
    <col min="8" max="8" width="20.42578125" bestFit="1" customWidth="1"/>
  </cols>
  <sheetData>
    <row r="3" spans="1:8" x14ac:dyDescent="0.25">
      <c r="A3" t="s">
        <v>1765</v>
      </c>
      <c r="C3" t="s">
        <v>1750</v>
      </c>
      <c r="E3" t="s">
        <v>1766</v>
      </c>
      <c r="G3" t="s">
        <v>1767</v>
      </c>
    </row>
    <row r="4" spans="1:8" x14ac:dyDescent="0.25">
      <c r="A4" s="14">
        <v>32</v>
      </c>
      <c r="C4" s="4">
        <v>74.86</v>
      </c>
      <c r="E4" s="3">
        <v>8053143.4400000013</v>
      </c>
      <c r="G4">
        <v>4.8090000000000002</v>
      </c>
    </row>
    <row r="5" spans="1:8" x14ac:dyDescent="0.25">
      <c r="A5">
        <f>GETPIVOTDATA("Patient ID",$A$3)</f>
        <v>32</v>
      </c>
      <c r="C5" s="9"/>
      <c r="E5">
        <f>GETPIVOTDATA("Total Bill Amount",$E$3)</f>
        <v>8053143.4400000013</v>
      </c>
      <c r="G5">
        <f>GETPIVOTDATA("Average length of stay",$G$3)</f>
        <v>4.8090000000000002</v>
      </c>
    </row>
    <row r="7" spans="1:8" x14ac:dyDescent="0.25">
      <c r="A7" s="5" t="s">
        <v>1746</v>
      </c>
      <c r="B7" t="s">
        <v>1753</v>
      </c>
      <c r="D7" s="5" t="s">
        <v>1746</v>
      </c>
      <c r="E7" t="s">
        <v>1748</v>
      </c>
      <c r="G7" s="5" t="s">
        <v>1746</v>
      </c>
      <c r="H7" t="s">
        <v>1754</v>
      </c>
    </row>
    <row r="8" spans="1:8" x14ac:dyDescent="0.25">
      <c r="A8" s="6" t="s">
        <v>16</v>
      </c>
      <c r="B8">
        <v>564</v>
      </c>
      <c r="D8" s="6" t="s">
        <v>19</v>
      </c>
      <c r="E8">
        <v>512</v>
      </c>
      <c r="G8" s="6" t="s">
        <v>14</v>
      </c>
      <c r="H8">
        <v>152</v>
      </c>
    </row>
    <row r="9" spans="1:8" x14ac:dyDescent="0.25">
      <c r="A9" s="6" t="s">
        <v>26</v>
      </c>
      <c r="B9">
        <v>179</v>
      </c>
      <c r="D9" s="6" t="s">
        <v>13</v>
      </c>
      <c r="E9">
        <v>488</v>
      </c>
      <c r="G9" s="6" t="s">
        <v>24</v>
      </c>
      <c r="H9">
        <v>190</v>
      </c>
    </row>
    <row r="10" spans="1:8" x14ac:dyDescent="0.25">
      <c r="A10" s="6" t="s">
        <v>21</v>
      </c>
      <c r="B10">
        <v>257</v>
      </c>
      <c r="G10" s="6" t="s">
        <v>32</v>
      </c>
      <c r="H10">
        <v>252</v>
      </c>
    </row>
    <row r="11" spans="1:8" x14ac:dyDescent="0.25">
      <c r="G11" s="6" t="s">
        <v>71</v>
      </c>
      <c r="H11">
        <v>94</v>
      </c>
    </row>
    <row r="12" spans="1:8" x14ac:dyDescent="0.25">
      <c r="G12" s="6" t="s">
        <v>61</v>
      </c>
      <c r="H12">
        <v>159</v>
      </c>
    </row>
    <row r="13" spans="1:8" x14ac:dyDescent="0.25">
      <c r="G13" s="6" t="s">
        <v>50</v>
      </c>
      <c r="H13">
        <v>153</v>
      </c>
    </row>
    <row r="14" spans="1:8" x14ac:dyDescent="0.25">
      <c r="A14" s="5" t="s">
        <v>1746</v>
      </c>
      <c r="B14" t="s">
        <v>1761</v>
      </c>
      <c r="D14" s="5" t="s">
        <v>1746</v>
      </c>
      <c r="E14" t="s">
        <v>1745</v>
      </c>
    </row>
    <row r="15" spans="1:8" x14ac:dyDescent="0.25">
      <c r="A15" s="6" t="s">
        <v>1758</v>
      </c>
      <c r="B15">
        <v>235</v>
      </c>
      <c r="D15" s="6" t="s">
        <v>1762</v>
      </c>
      <c r="E15">
        <v>508</v>
      </c>
    </row>
    <row r="16" spans="1:8" x14ac:dyDescent="0.25">
      <c r="A16" s="6" t="s">
        <v>1755</v>
      </c>
      <c r="B16">
        <v>220</v>
      </c>
      <c r="D16" s="11" t="s">
        <v>1768</v>
      </c>
      <c r="E16">
        <v>108</v>
      </c>
    </row>
    <row r="17" spans="1:5" x14ac:dyDescent="0.25">
      <c r="A17" s="6" t="s">
        <v>1757</v>
      </c>
      <c r="B17">
        <v>210</v>
      </c>
      <c r="D17" s="12" t="s">
        <v>1772</v>
      </c>
      <c r="E17">
        <v>34</v>
      </c>
    </row>
    <row r="18" spans="1:5" x14ac:dyDescent="0.25">
      <c r="A18" s="6" t="s">
        <v>1756</v>
      </c>
      <c r="B18">
        <v>170</v>
      </c>
      <c r="D18" s="12" t="s">
        <v>1773</v>
      </c>
      <c r="E18">
        <v>35</v>
      </c>
    </row>
    <row r="19" spans="1:5" x14ac:dyDescent="0.25">
      <c r="A19" s="6" t="s">
        <v>1759</v>
      </c>
      <c r="B19">
        <v>153</v>
      </c>
      <c r="D19" s="12" t="s">
        <v>1774</v>
      </c>
      <c r="E19">
        <v>39</v>
      </c>
    </row>
    <row r="20" spans="1:5" x14ac:dyDescent="0.25">
      <c r="A20" s="6" t="s">
        <v>1760</v>
      </c>
      <c r="B20">
        <v>12</v>
      </c>
      <c r="D20" s="11" t="s">
        <v>1769</v>
      </c>
      <c r="E20">
        <v>123</v>
      </c>
    </row>
    <row r="21" spans="1:5" x14ac:dyDescent="0.25">
      <c r="D21" s="12" t="s">
        <v>1775</v>
      </c>
      <c r="E21">
        <v>44</v>
      </c>
    </row>
    <row r="22" spans="1:5" x14ac:dyDescent="0.25">
      <c r="D22" s="12" t="s">
        <v>1776</v>
      </c>
      <c r="E22">
        <v>39</v>
      </c>
    </row>
    <row r="23" spans="1:5" x14ac:dyDescent="0.25">
      <c r="D23" s="12" t="s">
        <v>1777</v>
      </c>
      <c r="E23">
        <v>40</v>
      </c>
    </row>
    <row r="24" spans="1:5" x14ac:dyDescent="0.25">
      <c r="D24" s="11" t="s">
        <v>1770</v>
      </c>
      <c r="E24">
        <v>141</v>
      </c>
    </row>
    <row r="25" spans="1:5" x14ac:dyDescent="0.25">
      <c r="D25" s="12" t="s">
        <v>1778</v>
      </c>
      <c r="E25">
        <v>51</v>
      </c>
    </row>
    <row r="26" spans="1:5" x14ac:dyDescent="0.25">
      <c r="D26" s="12" t="s">
        <v>1779</v>
      </c>
      <c r="E26">
        <v>46</v>
      </c>
    </row>
    <row r="27" spans="1:5" x14ac:dyDescent="0.25">
      <c r="D27" s="12" t="s">
        <v>1780</v>
      </c>
      <c r="E27">
        <v>44</v>
      </c>
    </row>
    <row r="28" spans="1:5" x14ac:dyDescent="0.25">
      <c r="D28" s="11" t="s">
        <v>1771</v>
      </c>
      <c r="E28">
        <v>136</v>
      </c>
    </row>
    <row r="29" spans="1:5" x14ac:dyDescent="0.25">
      <c r="D29" s="12" t="s">
        <v>1781</v>
      </c>
      <c r="E29">
        <v>45</v>
      </c>
    </row>
    <row r="30" spans="1:5" x14ac:dyDescent="0.25">
      <c r="D30" s="12" t="s">
        <v>1782</v>
      </c>
      <c r="E30">
        <v>43</v>
      </c>
    </row>
    <row r="31" spans="1:5" x14ac:dyDescent="0.25">
      <c r="D31" s="12" t="s">
        <v>1783</v>
      </c>
      <c r="E31">
        <v>48</v>
      </c>
    </row>
    <row r="32" spans="1:5" x14ac:dyDescent="0.25">
      <c r="D32" s="6" t="s">
        <v>1763</v>
      </c>
      <c r="E32">
        <v>492</v>
      </c>
    </row>
    <row r="33" spans="4:5" x14ac:dyDescent="0.25">
      <c r="D33" s="11" t="s">
        <v>1768</v>
      </c>
      <c r="E33">
        <v>124</v>
      </c>
    </row>
    <row r="34" spans="4:5" x14ac:dyDescent="0.25">
      <c r="D34" s="12" t="s">
        <v>1772</v>
      </c>
      <c r="E34">
        <v>51</v>
      </c>
    </row>
    <row r="35" spans="4:5" x14ac:dyDescent="0.25">
      <c r="D35" s="12" t="s">
        <v>1773</v>
      </c>
      <c r="E35">
        <v>31</v>
      </c>
    </row>
    <row r="36" spans="4:5" x14ac:dyDescent="0.25">
      <c r="D36" s="12" t="s">
        <v>1774</v>
      </c>
      <c r="E36">
        <v>42</v>
      </c>
    </row>
    <row r="37" spans="4:5" x14ac:dyDescent="0.25">
      <c r="D37" s="11" t="s">
        <v>1769</v>
      </c>
      <c r="E37">
        <v>117</v>
      </c>
    </row>
    <row r="38" spans="4:5" x14ac:dyDescent="0.25">
      <c r="D38" s="12" t="s">
        <v>1775</v>
      </c>
      <c r="E38">
        <v>50</v>
      </c>
    </row>
    <row r="39" spans="4:5" x14ac:dyDescent="0.25">
      <c r="D39" s="12" t="s">
        <v>1776</v>
      </c>
      <c r="E39">
        <v>38</v>
      </c>
    </row>
    <row r="40" spans="4:5" x14ac:dyDescent="0.25">
      <c r="D40" s="12" t="s">
        <v>1777</v>
      </c>
      <c r="E40">
        <v>29</v>
      </c>
    </row>
    <row r="41" spans="4:5" x14ac:dyDescent="0.25">
      <c r="D41" s="11" t="s">
        <v>1770</v>
      </c>
      <c r="E41">
        <v>118</v>
      </c>
    </row>
    <row r="42" spans="4:5" x14ac:dyDescent="0.25">
      <c r="D42" s="12" t="s">
        <v>1778</v>
      </c>
      <c r="E42">
        <v>45</v>
      </c>
    </row>
    <row r="43" spans="4:5" x14ac:dyDescent="0.25">
      <c r="D43" s="12" t="s">
        <v>1779</v>
      </c>
      <c r="E43">
        <v>29</v>
      </c>
    </row>
    <row r="44" spans="4:5" x14ac:dyDescent="0.25">
      <c r="D44" s="12" t="s">
        <v>1780</v>
      </c>
      <c r="E44">
        <v>44</v>
      </c>
    </row>
    <row r="45" spans="4:5" x14ac:dyDescent="0.25">
      <c r="D45" s="11" t="s">
        <v>1771</v>
      </c>
      <c r="E45">
        <v>133</v>
      </c>
    </row>
    <row r="46" spans="4:5" x14ac:dyDescent="0.25">
      <c r="D46" s="12" t="s">
        <v>1781</v>
      </c>
      <c r="E46">
        <v>39</v>
      </c>
    </row>
    <row r="47" spans="4:5" x14ac:dyDescent="0.25">
      <c r="D47" s="12" t="s">
        <v>1782</v>
      </c>
      <c r="E47">
        <v>57</v>
      </c>
    </row>
    <row r="48" spans="4:5" x14ac:dyDescent="0.25">
      <c r="D48" s="12" t="s">
        <v>1783</v>
      </c>
      <c r="E48">
        <v>37</v>
      </c>
    </row>
    <row r="49" spans="4:5" x14ac:dyDescent="0.25">
      <c r="D49" s="6" t="s">
        <v>1747</v>
      </c>
      <c r="E49">
        <v>1000</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O1001"/>
  <sheetViews>
    <sheetView workbookViewId="0">
      <pane ySplit="1" topLeftCell="A16" activePane="bottomLeft" state="frozen"/>
      <selection pane="bottomLeft" activeCell="N213" sqref="N213"/>
    </sheetView>
  </sheetViews>
  <sheetFormatPr defaultRowHeight="15" x14ac:dyDescent="0.25"/>
  <cols>
    <col min="1" max="1" width="9" bestFit="1" customWidth="1"/>
    <col min="2" max="2" width="19.28515625" bestFit="1" customWidth="1"/>
    <col min="3" max="3" width="6.85546875" customWidth="1"/>
    <col min="4" max="4" width="10.42578125" customWidth="1"/>
    <col min="5" max="5" width="14" bestFit="1" customWidth="1"/>
    <col min="6" max="6" width="13.5703125" bestFit="1" customWidth="1"/>
    <col min="7" max="7" width="11.85546875" customWidth="1"/>
    <col min="8" max="8" width="20.42578125" bestFit="1" customWidth="1"/>
    <col min="9" max="9" width="15" bestFit="1" customWidth="1"/>
    <col min="10" max="10" width="19.42578125" bestFit="1" customWidth="1"/>
    <col min="11" max="11" width="14" bestFit="1" customWidth="1"/>
    <col min="12" max="12" width="13.7109375" customWidth="1"/>
    <col min="13" max="13" width="19.85546875" customWidth="1"/>
    <col min="14" max="14" width="14.85546875" customWidth="1"/>
  </cols>
  <sheetData>
    <row r="1" spans="1:14" x14ac:dyDescent="0.25">
      <c r="A1" s="1" t="s">
        <v>0</v>
      </c>
      <c r="B1" s="1" t="s">
        <v>1</v>
      </c>
      <c r="C1" s="1" t="s">
        <v>2</v>
      </c>
      <c r="D1" s="1" t="s">
        <v>3</v>
      </c>
      <c r="E1" s="1" t="s">
        <v>4</v>
      </c>
      <c r="F1" s="1" t="s">
        <v>5</v>
      </c>
      <c r="G1" s="1" t="s">
        <v>6</v>
      </c>
      <c r="H1" s="1" t="s">
        <v>7</v>
      </c>
      <c r="I1" s="1" t="s">
        <v>8</v>
      </c>
      <c r="J1" s="1" t="s">
        <v>9</v>
      </c>
      <c r="K1" s="1" t="s">
        <v>10</v>
      </c>
      <c r="L1" s="1" t="s">
        <v>1744</v>
      </c>
      <c r="M1" s="1" t="s">
        <v>1751</v>
      </c>
      <c r="N1" s="1" t="s">
        <v>1752</v>
      </c>
    </row>
    <row r="2" spans="1:14" x14ac:dyDescent="0.25">
      <c r="A2" t="s">
        <v>11</v>
      </c>
      <c r="B2" t="s">
        <v>12</v>
      </c>
      <c r="C2">
        <v>57</v>
      </c>
      <c r="D2" t="s">
        <v>13</v>
      </c>
      <c r="E2" s="2">
        <v>45488</v>
      </c>
      <c r="F2" s="2">
        <v>45496</v>
      </c>
      <c r="G2" t="s">
        <v>14</v>
      </c>
      <c r="H2" t="s">
        <v>15</v>
      </c>
      <c r="I2" s="3">
        <v>15359.41</v>
      </c>
      <c r="J2" s="4">
        <v>60</v>
      </c>
      <c r="K2" t="s">
        <v>16</v>
      </c>
      <c r="L2" t="str" cm="1">
        <f t="array" ref="L2">_xlfn.IFS(C2&lt;18,"under 18",C2&lt;36,"btw 18 &amp; 35",C2&lt;51,"btw 36 &amp;50",C2&lt;66,"btw 51 &amp; 66",C2&gt;66,"66 &amp; above")</f>
        <v>btw 51 &amp; 66</v>
      </c>
      <c r="M2">
        <f>AVERAGE(F2-E2)</f>
        <v>8</v>
      </c>
    </row>
    <row r="3" spans="1:14" x14ac:dyDescent="0.25">
      <c r="A3" t="s">
        <v>17</v>
      </c>
      <c r="B3" t="s">
        <v>18</v>
      </c>
      <c r="C3">
        <v>62</v>
      </c>
      <c r="D3" t="s">
        <v>19</v>
      </c>
      <c r="E3" s="2">
        <v>45729</v>
      </c>
      <c r="F3" s="2">
        <v>45739</v>
      </c>
      <c r="G3" t="s">
        <v>14</v>
      </c>
      <c r="H3" t="s">
        <v>20</v>
      </c>
      <c r="I3" s="3">
        <v>21896.6</v>
      </c>
      <c r="J3" s="4">
        <v>80</v>
      </c>
      <c r="K3" t="s">
        <v>21</v>
      </c>
      <c r="L3" t="str" cm="1">
        <f t="array" ref="L3">_xlfn.IFS(C3&lt;18,"under 18",C3&lt;36,"btw 18 &amp; 35",C3&lt;51,"btw 36 &amp;50",C3&lt;66,"btw 51 &amp; 66",C3&gt;66,"66 &amp; above")</f>
        <v>btw 51 &amp; 66</v>
      </c>
      <c r="M3">
        <f t="shared" ref="M3:M66" si="0">AVERAGE(F3-E3)</f>
        <v>10</v>
      </c>
      <c r="N3">
        <f>SUMIF(K3:K1002,"paid",I3:I1002)</f>
        <v>4553167.9099999946</v>
      </c>
    </row>
    <row r="4" spans="1:14" x14ac:dyDescent="0.25">
      <c r="A4" t="s">
        <v>22</v>
      </c>
      <c r="B4" t="s">
        <v>23</v>
      </c>
      <c r="C4">
        <v>82</v>
      </c>
      <c r="D4" t="s">
        <v>19</v>
      </c>
      <c r="E4" s="2">
        <v>45387</v>
      </c>
      <c r="F4" s="2">
        <v>45390</v>
      </c>
      <c r="G4" t="s">
        <v>24</v>
      </c>
      <c r="H4" t="s">
        <v>25</v>
      </c>
      <c r="I4" s="3">
        <v>6404.86</v>
      </c>
      <c r="J4" s="4">
        <v>0</v>
      </c>
      <c r="K4" t="s">
        <v>26</v>
      </c>
      <c r="L4" t="str" cm="1">
        <f t="array" ref="L4">_xlfn.IFS(C4&lt;18,"under 18",C4&lt;36,"btw 18 &amp; 35",C4&lt;51,"btw 36 &amp;50",C4&lt;66,"btw 51 &amp; 66",C4&gt;66,"66 &amp; above")</f>
        <v>66 &amp; above</v>
      </c>
      <c r="M4">
        <f t="shared" si="0"/>
        <v>3</v>
      </c>
      <c r="N4">
        <f t="shared" ref="N4:N7" si="1">SUMIF(K4:K1003,"paid",I4:I1003)</f>
        <v>4553167.9099999946</v>
      </c>
    </row>
    <row r="5" spans="1:14" x14ac:dyDescent="0.25">
      <c r="A5" t="s">
        <v>27</v>
      </c>
      <c r="B5" t="s">
        <v>28</v>
      </c>
      <c r="C5">
        <v>29</v>
      </c>
      <c r="D5" t="s">
        <v>19</v>
      </c>
      <c r="E5" s="2">
        <v>45588</v>
      </c>
      <c r="F5" s="2">
        <v>45589</v>
      </c>
      <c r="G5" t="s">
        <v>24</v>
      </c>
      <c r="H5" t="s">
        <v>29</v>
      </c>
      <c r="I5" s="3">
        <v>1001.68</v>
      </c>
      <c r="J5" s="4">
        <v>90</v>
      </c>
      <c r="K5" t="s">
        <v>21</v>
      </c>
      <c r="L5" t="str" cm="1">
        <f t="array" ref="L5">_xlfn.IFS(C5&lt;18,"under 18",C5&lt;36,"btw 18 &amp; 35",C5&lt;51,"btw 36 &amp;50",C5&lt;66,"btw 51 &amp; 66",C5&gt;66,"66 &amp; above")</f>
        <v>btw 18 &amp; 35</v>
      </c>
      <c r="M5">
        <f t="shared" si="0"/>
        <v>1</v>
      </c>
      <c r="N5">
        <f t="shared" si="1"/>
        <v>4553167.9099999946</v>
      </c>
    </row>
    <row r="6" spans="1:14" x14ac:dyDescent="0.25">
      <c r="A6" t="s">
        <v>30</v>
      </c>
      <c r="B6" t="s">
        <v>31</v>
      </c>
      <c r="C6">
        <v>65</v>
      </c>
      <c r="D6" t="s">
        <v>13</v>
      </c>
      <c r="E6" s="2">
        <v>45621</v>
      </c>
      <c r="F6" s="2">
        <v>45627</v>
      </c>
      <c r="G6" t="s">
        <v>32</v>
      </c>
      <c r="H6" t="s">
        <v>33</v>
      </c>
      <c r="I6" s="3">
        <v>4022.42</v>
      </c>
      <c r="J6" s="4">
        <v>80</v>
      </c>
      <c r="K6" t="s">
        <v>21</v>
      </c>
      <c r="L6" t="str" cm="1">
        <f t="array" ref="L6">_xlfn.IFS(C6&lt;18,"under 18",C6&lt;36,"btw 18 &amp; 35",C6&lt;51,"btw 36 &amp;50",C6&lt;66,"btw 51 &amp; 66",C6&gt;66,"66 &amp; above")</f>
        <v>btw 51 &amp; 66</v>
      </c>
      <c r="M6">
        <f t="shared" si="0"/>
        <v>6</v>
      </c>
      <c r="N6">
        <f t="shared" si="1"/>
        <v>4553167.9099999946</v>
      </c>
    </row>
    <row r="7" spans="1:14" x14ac:dyDescent="0.25">
      <c r="A7" t="s">
        <v>34</v>
      </c>
      <c r="B7" t="s">
        <v>35</v>
      </c>
      <c r="C7">
        <v>53</v>
      </c>
      <c r="D7" t="s">
        <v>13</v>
      </c>
      <c r="E7" s="2">
        <v>45494</v>
      </c>
      <c r="F7" s="2">
        <v>45501</v>
      </c>
      <c r="G7" t="s">
        <v>32</v>
      </c>
      <c r="H7" t="s">
        <v>36</v>
      </c>
      <c r="I7" s="3">
        <v>6621.96</v>
      </c>
      <c r="J7" s="4">
        <v>50</v>
      </c>
      <c r="K7" t="s">
        <v>26</v>
      </c>
      <c r="L7" t="str" cm="1">
        <f t="array" ref="L7">_xlfn.IFS(C7&lt;18,"under 18",C7&lt;36,"btw 18 &amp; 35",C7&lt;51,"btw 36 &amp;50",C7&lt;66,"btw 51 &amp; 66",C7&gt;66,"66 &amp; above")</f>
        <v>btw 51 &amp; 66</v>
      </c>
      <c r="M7">
        <f t="shared" si="0"/>
        <v>7</v>
      </c>
      <c r="N7">
        <f t="shared" si="1"/>
        <v>4553167.9099999946</v>
      </c>
    </row>
    <row r="8" spans="1:14" x14ac:dyDescent="0.25">
      <c r="A8" t="s">
        <v>37</v>
      </c>
      <c r="B8" t="s">
        <v>38</v>
      </c>
      <c r="C8">
        <v>46</v>
      </c>
      <c r="D8" t="s">
        <v>19</v>
      </c>
      <c r="E8" s="2">
        <v>45331</v>
      </c>
      <c r="F8" s="2">
        <v>45335</v>
      </c>
      <c r="G8" t="s">
        <v>14</v>
      </c>
      <c r="H8" t="s">
        <v>39</v>
      </c>
      <c r="I8" s="3">
        <v>7676.36</v>
      </c>
      <c r="J8" s="4">
        <v>70</v>
      </c>
      <c r="K8" t="s">
        <v>26</v>
      </c>
      <c r="L8" t="str" cm="1">
        <f t="array" ref="L8">_xlfn.IFS(C8&lt;18,"under 18",C8&lt;36,"btw 18 &amp; 35",C8&lt;51,"btw 36 &amp;50",C8&lt;66,"btw 51 &amp; 66",C8&gt;66,"66 &amp; above")</f>
        <v>btw 36 &amp;50</v>
      </c>
      <c r="M8">
        <f t="shared" si="0"/>
        <v>4</v>
      </c>
    </row>
    <row r="9" spans="1:14" x14ac:dyDescent="0.25">
      <c r="A9" t="s">
        <v>40</v>
      </c>
      <c r="B9" t="s">
        <v>41</v>
      </c>
      <c r="C9">
        <v>21</v>
      </c>
      <c r="D9" t="s">
        <v>19</v>
      </c>
      <c r="E9" s="2">
        <v>45346</v>
      </c>
      <c r="F9" s="2">
        <v>45349</v>
      </c>
      <c r="G9" t="s">
        <v>24</v>
      </c>
      <c r="H9" t="s">
        <v>42</v>
      </c>
      <c r="I9" s="3">
        <v>7381.69</v>
      </c>
      <c r="J9" s="4">
        <v>80</v>
      </c>
      <c r="K9" t="s">
        <v>21</v>
      </c>
      <c r="L9" t="str" cm="1">
        <f t="array" ref="L9">_xlfn.IFS(C9&lt;18,"under 18",C9&lt;36,"btw 18 &amp; 35",C9&lt;51,"btw 36 &amp;50",C9&lt;66,"btw 51 &amp; 66",C9&gt;66,"66 &amp; above")</f>
        <v>btw 18 &amp; 35</v>
      </c>
      <c r="M9">
        <f t="shared" si="0"/>
        <v>3</v>
      </c>
    </row>
    <row r="10" spans="1:14" x14ac:dyDescent="0.25">
      <c r="A10" t="s">
        <v>43</v>
      </c>
      <c r="B10" t="s">
        <v>44</v>
      </c>
      <c r="C10">
        <v>62</v>
      </c>
      <c r="D10" t="s">
        <v>13</v>
      </c>
      <c r="E10" s="2">
        <v>45607</v>
      </c>
      <c r="F10" s="2">
        <v>45613</v>
      </c>
      <c r="G10" t="s">
        <v>32</v>
      </c>
      <c r="H10" t="s">
        <v>45</v>
      </c>
      <c r="I10" s="3">
        <v>5206.3999999999996</v>
      </c>
      <c r="J10" s="4">
        <v>80</v>
      </c>
      <c r="K10" t="s">
        <v>21</v>
      </c>
      <c r="L10" t="str" cm="1">
        <f t="array" ref="L10">_xlfn.IFS(C10&lt;18,"under 18",C10&lt;36,"btw 18 &amp; 35",C10&lt;51,"btw 36 &amp;50",C10&lt;66,"btw 51 &amp; 66",C10&gt;66,"66 &amp; above")</f>
        <v>btw 51 &amp; 66</v>
      </c>
      <c r="M10">
        <f t="shared" si="0"/>
        <v>6</v>
      </c>
    </row>
    <row r="11" spans="1:14" x14ac:dyDescent="0.25">
      <c r="A11" t="s">
        <v>46</v>
      </c>
      <c r="B11" t="s">
        <v>47</v>
      </c>
      <c r="C11">
        <v>59</v>
      </c>
      <c r="D11" t="s">
        <v>13</v>
      </c>
      <c r="E11" s="2">
        <v>45874</v>
      </c>
      <c r="F11" s="2">
        <v>45875</v>
      </c>
      <c r="G11" t="s">
        <v>24</v>
      </c>
      <c r="H11" t="s">
        <v>42</v>
      </c>
      <c r="I11" s="3">
        <v>2498.98</v>
      </c>
      <c r="J11" s="4">
        <v>50</v>
      </c>
      <c r="K11" t="s">
        <v>21</v>
      </c>
      <c r="L11" t="str" cm="1">
        <f t="array" ref="L11">_xlfn.IFS(C11&lt;18,"under 18",C11&lt;36,"btw 18 &amp; 35",C11&lt;51,"btw 36 &amp;50",C11&lt;66,"btw 51 &amp; 66",C11&gt;66,"66 &amp; above")</f>
        <v>btw 51 &amp; 66</v>
      </c>
      <c r="M11">
        <f t="shared" si="0"/>
        <v>1</v>
      </c>
    </row>
    <row r="12" spans="1:14" x14ac:dyDescent="0.25">
      <c r="A12" t="s">
        <v>48</v>
      </c>
      <c r="B12" t="s">
        <v>49</v>
      </c>
      <c r="C12">
        <v>7</v>
      </c>
      <c r="D12" t="s">
        <v>13</v>
      </c>
      <c r="E12" s="2">
        <v>45967</v>
      </c>
      <c r="F12" s="2">
        <v>45969</v>
      </c>
      <c r="G12" t="s">
        <v>50</v>
      </c>
      <c r="H12" t="s">
        <v>51</v>
      </c>
      <c r="I12" s="3">
        <v>2096.73</v>
      </c>
      <c r="J12" s="4">
        <v>70</v>
      </c>
      <c r="K12" t="s">
        <v>16</v>
      </c>
      <c r="L12" t="str" cm="1">
        <f t="array" ref="L12">_xlfn.IFS(C12&lt;18,"under 18",C12&lt;36,"btw 18 &amp; 35",C12&lt;51,"btw 36 &amp;50",C12&lt;66,"btw 51 &amp; 66",C12&gt;66,"66 &amp; above")</f>
        <v>under 18</v>
      </c>
      <c r="M12">
        <f t="shared" si="0"/>
        <v>2</v>
      </c>
    </row>
    <row r="13" spans="1:14" x14ac:dyDescent="0.25">
      <c r="A13" t="s">
        <v>52</v>
      </c>
      <c r="B13" t="s">
        <v>53</v>
      </c>
      <c r="C13">
        <v>85</v>
      </c>
      <c r="D13" t="s">
        <v>19</v>
      </c>
      <c r="E13" s="2">
        <v>45719</v>
      </c>
      <c r="F13" s="2">
        <v>45724</v>
      </c>
      <c r="G13" t="s">
        <v>32</v>
      </c>
      <c r="H13" t="s">
        <v>54</v>
      </c>
      <c r="I13" s="3">
        <v>4619.6099999999997</v>
      </c>
      <c r="J13" s="4">
        <v>70</v>
      </c>
      <c r="K13" t="s">
        <v>21</v>
      </c>
      <c r="L13" t="str" cm="1">
        <f t="array" ref="L13">_xlfn.IFS(C13&lt;18,"under 18",C13&lt;36,"btw 18 &amp; 35",C13&lt;51,"btw 36 &amp;50",C13&lt;66,"btw 51 &amp; 66",C13&gt;66,"66 &amp; above")</f>
        <v>66 &amp; above</v>
      </c>
      <c r="M13">
        <f t="shared" si="0"/>
        <v>5</v>
      </c>
    </row>
    <row r="14" spans="1:14" x14ac:dyDescent="0.25">
      <c r="A14" t="s">
        <v>55</v>
      </c>
      <c r="B14" t="s">
        <v>56</v>
      </c>
      <c r="C14">
        <v>40</v>
      </c>
      <c r="D14" t="s">
        <v>13</v>
      </c>
      <c r="E14" s="2">
        <v>45500</v>
      </c>
      <c r="F14" s="2">
        <v>45502</v>
      </c>
      <c r="G14" t="s">
        <v>24</v>
      </c>
      <c r="H14" t="s">
        <v>25</v>
      </c>
      <c r="I14" s="3">
        <v>3367.87</v>
      </c>
      <c r="J14" s="4">
        <v>90</v>
      </c>
      <c r="K14" t="s">
        <v>16</v>
      </c>
      <c r="L14" t="str" cm="1">
        <f t="array" ref="L14">_xlfn.IFS(C14&lt;18,"under 18",C14&lt;36,"btw 18 &amp; 35",C14&lt;51,"btw 36 &amp;50",C14&lt;66,"btw 51 &amp; 66",C14&gt;66,"66 &amp; above")</f>
        <v>btw 36 &amp;50</v>
      </c>
      <c r="M14">
        <f t="shared" si="0"/>
        <v>2</v>
      </c>
    </row>
    <row r="15" spans="1:14" x14ac:dyDescent="0.25">
      <c r="A15" t="s">
        <v>57</v>
      </c>
      <c r="B15" t="s">
        <v>58</v>
      </c>
      <c r="C15">
        <v>24</v>
      </c>
      <c r="D15" t="s">
        <v>13</v>
      </c>
      <c r="E15" s="2">
        <v>45524</v>
      </c>
      <c r="F15" s="2">
        <v>45526</v>
      </c>
      <c r="G15" t="s">
        <v>32</v>
      </c>
      <c r="H15" t="s">
        <v>36</v>
      </c>
      <c r="I15" s="3">
        <v>2287.25</v>
      </c>
      <c r="J15" s="4">
        <v>60</v>
      </c>
      <c r="K15" t="s">
        <v>16</v>
      </c>
      <c r="L15" t="str" cm="1">
        <f t="array" ref="L15">_xlfn.IFS(C15&lt;18,"under 18",C15&lt;36,"btw 18 &amp; 35",C15&lt;51,"btw 36 &amp;50",C15&lt;66,"btw 51 &amp; 66",C15&gt;66,"66 &amp; above")</f>
        <v>btw 18 &amp; 35</v>
      </c>
      <c r="M15">
        <f t="shared" si="0"/>
        <v>2</v>
      </c>
    </row>
    <row r="16" spans="1:14" x14ac:dyDescent="0.25">
      <c r="A16" t="s">
        <v>59</v>
      </c>
      <c r="B16" t="s">
        <v>60</v>
      </c>
      <c r="C16">
        <v>67</v>
      </c>
      <c r="D16" t="s">
        <v>19</v>
      </c>
      <c r="E16" s="2">
        <v>46003</v>
      </c>
      <c r="F16" s="2">
        <v>46012</v>
      </c>
      <c r="G16" t="s">
        <v>61</v>
      </c>
      <c r="H16" t="s">
        <v>62</v>
      </c>
      <c r="I16" s="3">
        <v>12489.51</v>
      </c>
      <c r="J16" s="4">
        <v>100</v>
      </c>
      <c r="K16" t="s">
        <v>16</v>
      </c>
      <c r="L16" t="str" cm="1">
        <f t="array" ref="L16">_xlfn.IFS(C16&lt;18,"under 18",C16&lt;36,"btw 18 &amp; 35",C16&lt;51,"btw 36 &amp;50",C16&lt;66,"btw 51 &amp; 66",C16&gt;66,"66 &amp; above")</f>
        <v>66 &amp; above</v>
      </c>
      <c r="M16">
        <f t="shared" si="0"/>
        <v>9</v>
      </c>
    </row>
    <row r="17" spans="1:13" x14ac:dyDescent="0.25">
      <c r="A17" t="s">
        <v>63</v>
      </c>
      <c r="B17" t="s">
        <v>64</v>
      </c>
      <c r="C17">
        <v>70</v>
      </c>
      <c r="D17" t="s">
        <v>19</v>
      </c>
      <c r="E17" s="2">
        <v>45695</v>
      </c>
      <c r="F17" s="2">
        <v>45701</v>
      </c>
      <c r="G17" t="s">
        <v>32</v>
      </c>
      <c r="H17" t="s">
        <v>36</v>
      </c>
      <c r="I17" s="3">
        <v>4262.21</v>
      </c>
      <c r="J17" s="4">
        <v>100</v>
      </c>
      <c r="K17" t="s">
        <v>16</v>
      </c>
      <c r="L17" t="str" cm="1">
        <f t="array" ref="L17">_xlfn.IFS(C17&lt;18,"under 18",C17&lt;36,"btw 18 &amp; 35",C17&lt;51,"btw 36 &amp;50",C17&lt;66,"btw 51 &amp; 66",C17&gt;66,"66 &amp; above")</f>
        <v>66 &amp; above</v>
      </c>
      <c r="M17">
        <f t="shared" si="0"/>
        <v>6</v>
      </c>
    </row>
    <row r="18" spans="1:13" x14ac:dyDescent="0.25">
      <c r="A18" t="s">
        <v>65</v>
      </c>
      <c r="B18" t="s">
        <v>66</v>
      </c>
      <c r="C18">
        <v>38</v>
      </c>
      <c r="D18" t="s">
        <v>13</v>
      </c>
      <c r="E18" s="2">
        <v>45528</v>
      </c>
      <c r="F18" s="2">
        <v>45532</v>
      </c>
      <c r="G18" t="s">
        <v>32</v>
      </c>
      <c r="H18" t="s">
        <v>36</v>
      </c>
      <c r="I18" s="3">
        <v>5523.81</v>
      </c>
      <c r="J18" s="4">
        <v>70</v>
      </c>
      <c r="K18" t="s">
        <v>21</v>
      </c>
      <c r="L18" t="str" cm="1">
        <f t="array" ref="L18">_xlfn.IFS(C18&lt;18,"under 18",C18&lt;36,"btw 18 &amp; 35",C18&lt;51,"btw 36 &amp;50",C18&lt;66,"btw 51 &amp; 66",C18&gt;66,"66 &amp; above")</f>
        <v>btw 36 &amp;50</v>
      </c>
      <c r="M18">
        <f t="shared" si="0"/>
        <v>4</v>
      </c>
    </row>
    <row r="19" spans="1:13" x14ac:dyDescent="0.25">
      <c r="A19" t="s">
        <v>67</v>
      </c>
      <c r="B19" t="s">
        <v>68</v>
      </c>
      <c r="C19">
        <v>81</v>
      </c>
      <c r="D19" t="s">
        <v>19</v>
      </c>
      <c r="E19" s="2">
        <v>45439</v>
      </c>
      <c r="F19" s="2">
        <v>45441</v>
      </c>
      <c r="G19" t="s">
        <v>32</v>
      </c>
      <c r="H19" t="s">
        <v>33</v>
      </c>
      <c r="I19" s="3">
        <v>1097.76</v>
      </c>
      <c r="J19" s="4">
        <v>80</v>
      </c>
      <c r="K19" t="s">
        <v>16</v>
      </c>
      <c r="L19" t="str" cm="1">
        <f t="array" ref="L19">_xlfn.IFS(C19&lt;18,"under 18",C19&lt;36,"btw 18 &amp; 35",C19&lt;51,"btw 36 &amp;50",C19&lt;66,"btw 51 &amp; 66",C19&gt;66,"66 &amp; above")</f>
        <v>66 &amp; above</v>
      </c>
      <c r="M19">
        <f t="shared" si="0"/>
        <v>2</v>
      </c>
    </row>
    <row r="20" spans="1:13" x14ac:dyDescent="0.25">
      <c r="A20" t="s">
        <v>69</v>
      </c>
      <c r="B20" t="s">
        <v>70</v>
      </c>
      <c r="C20">
        <v>35</v>
      </c>
      <c r="D20" t="s">
        <v>19</v>
      </c>
      <c r="E20" s="2">
        <v>45649</v>
      </c>
      <c r="F20" s="2">
        <v>45655</v>
      </c>
      <c r="G20" t="s">
        <v>71</v>
      </c>
      <c r="H20" t="s">
        <v>72</v>
      </c>
      <c r="I20" s="3">
        <v>14272.73</v>
      </c>
      <c r="J20" s="4">
        <v>80</v>
      </c>
      <c r="K20" t="s">
        <v>21</v>
      </c>
      <c r="L20" t="str" cm="1">
        <f t="array" ref="L20">_xlfn.IFS(C20&lt;18,"under 18",C20&lt;36,"btw 18 &amp; 35",C20&lt;51,"btw 36 &amp;50",C20&lt;66,"btw 51 &amp; 66",C20&gt;66,"66 &amp; above")</f>
        <v>btw 18 &amp; 35</v>
      </c>
      <c r="M20">
        <f t="shared" si="0"/>
        <v>6</v>
      </c>
    </row>
    <row r="21" spans="1:13" x14ac:dyDescent="0.25">
      <c r="A21" t="s">
        <v>73</v>
      </c>
      <c r="B21" t="s">
        <v>74</v>
      </c>
      <c r="C21">
        <v>42</v>
      </c>
      <c r="D21" t="s">
        <v>19</v>
      </c>
      <c r="E21" s="2">
        <v>45804</v>
      </c>
      <c r="F21" s="2">
        <v>45817</v>
      </c>
      <c r="G21" t="s">
        <v>61</v>
      </c>
      <c r="H21" t="s">
        <v>75</v>
      </c>
      <c r="I21" s="3">
        <v>18429.310000000001</v>
      </c>
      <c r="J21" s="4">
        <v>100</v>
      </c>
      <c r="K21" t="s">
        <v>16</v>
      </c>
      <c r="L21" t="str" cm="1">
        <f t="array" ref="L21">_xlfn.IFS(C21&lt;18,"under 18",C21&lt;36,"btw 18 &amp; 35",C21&lt;51,"btw 36 &amp;50",C21&lt;66,"btw 51 &amp; 66",C21&gt;66,"66 &amp; above")</f>
        <v>btw 36 &amp;50</v>
      </c>
      <c r="M21">
        <f t="shared" si="0"/>
        <v>13</v>
      </c>
    </row>
    <row r="22" spans="1:13" x14ac:dyDescent="0.25">
      <c r="A22" t="s">
        <v>76</v>
      </c>
      <c r="B22" t="s">
        <v>77</v>
      </c>
      <c r="C22">
        <v>36</v>
      </c>
      <c r="D22" t="s">
        <v>13</v>
      </c>
      <c r="E22" s="2">
        <v>45952</v>
      </c>
      <c r="F22" s="2">
        <v>45958</v>
      </c>
      <c r="G22" t="s">
        <v>61</v>
      </c>
      <c r="H22" t="s">
        <v>78</v>
      </c>
      <c r="I22" s="3">
        <v>11481.03</v>
      </c>
      <c r="J22" s="4">
        <v>80</v>
      </c>
      <c r="K22" t="s">
        <v>21</v>
      </c>
      <c r="L22" t="str" cm="1">
        <f t="array" ref="L22">_xlfn.IFS(C22&lt;18,"under 18",C22&lt;36,"btw 18 &amp; 35",C22&lt;51,"btw 36 &amp;50",C22&lt;66,"btw 51 &amp; 66",C22&gt;66,"66 &amp; above")</f>
        <v>btw 36 &amp;50</v>
      </c>
      <c r="M22">
        <f t="shared" si="0"/>
        <v>6</v>
      </c>
    </row>
    <row r="23" spans="1:13" x14ac:dyDescent="0.25">
      <c r="A23" t="s">
        <v>79</v>
      </c>
      <c r="B23" t="s">
        <v>80</v>
      </c>
      <c r="C23">
        <v>67</v>
      </c>
      <c r="D23" t="s">
        <v>19</v>
      </c>
      <c r="E23" s="2">
        <v>45699</v>
      </c>
      <c r="F23" s="2">
        <v>45702</v>
      </c>
      <c r="G23" t="s">
        <v>14</v>
      </c>
      <c r="H23" t="s">
        <v>15</v>
      </c>
      <c r="I23" s="3">
        <v>6324.27</v>
      </c>
      <c r="J23" s="4">
        <v>80</v>
      </c>
      <c r="K23" t="s">
        <v>16</v>
      </c>
      <c r="L23" t="str" cm="1">
        <f t="array" ref="L23">_xlfn.IFS(C23&lt;18,"under 18",C23&lt;36,"btw 18 &amp; 35",C23&lt;51,"btw 36 &amp;50",C23&lt;66,"btw 51 &amp; 66",C23&gt;66,"66 &amp; above")</f>
        <v>66 &amp; above</v>
      </c>
      <c r="M23">
        <f t="shared" si="0"/>
        <v>3</v>
      </c>
    </row>
    <row r="24" spans="1:13" x14ac:dyDescent="0.25">
      <c r="A24" t="s">
        <v>81</v>
      </c>
      <c r="B24" t="s">
        <v>82</v>
      </c>
      <c r="C24">
        <v>23</v>
      </c>
      <c r="D24" t="s">
        <v>13</v>
      </c>
      <c r="E24" s="2">
        <v>45613</v>
      </c>
      <c r="F24" s="2">
        <v>45614</v>
      </c>
      <c r="G24" t="s">
        <v>24</v>
      </c>
      <c r="H24" t="s">
        <v>83</v>
      </c>
      <c r="I24" s="3">
        <v>1888.07</v>
      </c>
      <c r="J24" s="4">
        <v>80</v>
      </c>
      <c r="K24" t="s">
        <v>26</v>
      </c>
      <c r="L24" t="str" cm="1">
        <f t="array" ref="L24">_xlfn.IFS(C24&lt;18,"under 18",C24&lt;36,"btw 18 &amp; 35",C24&lt;51,"btw 36 &amp;50",C24&lt;66,"btw 51 &amp; 66",C24&gt;66,"66 &amp; above")</f>
        <v>btw 18 &amp; 35</v>
      </c>
      <c r="M24">
        <f t="shared" si="0"/>
        <v>1</v>
      </c>
    </row>
    <row r="25" spans="1:13" x14ac:dyDescent="0.25">
      <c r="A25" t="s">
        <v>84</v>
      </c>
      <c r="B25" t="s">
        <v>85</v>
      </c>
      <c r="C25">
        <v>66</v>
      </c>
      <c r="D25" t="s">
        <v>19</v>
      </c>
      <c r="E25" s="2">
        <v>45370</v>
      </c>
      <c r="F25" s="2">
        <v>45378</v>
      </c>
      <c r="G25" t="s">
        <v>14</v>
      </c>
      <c r="H25" t="s">
        <v>15</v>
      </c>
      <c r="I25" s="3">
        <v>21654.18</v>
      </c>
      <c r="J25" s="4">
        <v>70</v>
      </c>
      <c r="K25" t="s">
        <v>16</v>
      </c>
      <c r="L25" t="e" cm="1">
        <f t="array" ref="L25">_xlfn.IFS(C25&lt;18,"under 18",C25&lt;36,"btw 18 &amp; 35",C25&lt;51,"btw 36 &amp;50",C25&lt;66,"btw 51 &amp; 66",C25&gt;66,"66 &amp; above")</f>
        <v>#N/A</v>
      </c>
      <c r="M25">
        <f t="shared" si="0"/>
        <v>8</v>
      </c>
    </row>
    <row r="26" spans="1:13" x14ac:dyDescent="0.25">
      <c r="A26" t="s">
        <v>86</v>
      </c>
      <c r="B26" t="s">
        <v>87</v>
      </c>
      <c r="C26">
        <v>57</v>
      </c>
      <c r="D26" t="s">
        <v>19</v>
      </c>
      <c r="E26" s="2">
        <v>45706</v>
      </c>
      <c r="F26" s="2">
        <v>45709</v>
      </c>
      <c r="G26" t="s">
        <v>32</v>
      </c>
      <c r="H26" t="s">
        <v>88</v>
      </c>
      <c r="I26" s="3">
        <v>2641.14</v>
      </c>
      <c r="J26" s="4">
        <v>100</v>
      </c>
      <c r="K26" t="s">
        <v>16</v>
      </c>
      <c r="L26" t="str" cm="1">
        <f t="array" ref="L26">_xlfn.IFS(C26&lt;18,"under 18",C26&lt;36,"btw 18 &amp; 35",C26&lt;51,"btw 36 &amp;50",C26&lt;66,"btw 51 &amp; 66",C26&gt;66,"66 &amp; above")</f>
        <v>btw 51 &amp; 66</v>
      </c>
      <c r="M26">
        <f t="shared" si="0"/>
        <v>3</v>
      </c>
    </row>
    <row r="27" spans="1:13" x14ac:dyDescent="0.25">
      <c r="A27" t="s">
        <v>89</v>
      </c>
      <c r="B27" t="s">
        <v>90</v>
      </c>
      <c r="C27">
        <v>44</v>
      </c>
      <c r="D27" t="s">
        <v>13</v>
      </c>
      <c r="E27" s="2">
        <v>45463</v>
      </c>
      <c r="F27" s="2">
        <v>45467</v>
      </c>
      <c r="G27" t="s">
        <v>32</v>
      </c>
      <c r="H27" t="s">
        <v>54</v>
      </c>
      <c r="I27" s="3">
        <v>5522.03</v>
      </c>
      <c r="J27" s="4">
        <v>0</v>
      </c>
      <c r="K27" t="s">
        <v>26</v>
      </c>
      <c r="L27" t="str" cm="1">
        <f t="array" ref="L27">_xlfn.IFS(C27&lt;18,"under 18",C27&lt;36,"btw 18 &amp; 35",C27&lt;51,"btw 36 &amp;50",C27&lt;66,"btw 51 &amp; 66",C27&gt;66,"66 &amp; above")</f>
        <v>btw 36 &amp;50</v>
      </c>
      <c r="M27">
        <f t="shared" si="0"/>
        <v>4</v>
      </c>
    </row>
    <row r="28" spans="1:13" x14ac:dyDescent="0.25">
      <c r="A28" t="s">
        <v>91</v>
      </c>
      <c r="B28" t="s">
        <v>92</v>
      </c>
      <c r="C28">
        <v>58</v>
      </c>
      <c r="D28" t="s">
        <v>13</v>
      </c>
      <c r="E28" s="2">
        <v>45446</v>
      </c>
      <c r="F28" s="2">
        <v>45451</v>
      </c>
      <c r="G28" t="s">
        <v>14</v>
      </c>
      <c r="H28" t="s">
        <v>39</v>
      </c>
      <c r="I28" s="3">
        <v>8789.32</v>
      </c>
      <c r="J28" s="4">
        <v>90</v>
      </c>
      <c r="K28" t="s">
        <v>21</v>
      </c>
      <c r="L28" t="str" cm="1">
        <f t="array" ref="L28">_xlfn.IFS(C28&lt;18,"under 18",C28&lt;36,"btw 18 &amp; 35",C28&lt;51,"btw 36 &amp;50",C28&lt;66,"btw 51 &amp; 66",C28&gt;66,"66 &amp; above")</f>
        <v>btw 51 &amp; 66</v>
      </c>
      <c r="M28">
        <f t="shared" si="0"/>
        <v>5</v>
      </c>
    </row>
    <row r="29" spans="1:13" x14ac:dyDescent="0.25">
      <c r="A29" t="s">
        <v>93</v>
      </c>
      <c r="B29" t="s">
        <v>94</v>
      </c>
      <c r="C29">
        <v>62</v>
      </c>
      <c r="D29" t="s">
        <v>13</v>
      </c>
      <c r="E29" s="2">
        <v>45682</v>
      </c>
      <c r="F29" s="2">
        <v>45687</v>
      </c>
      <c r="G29" t="s">
        <v>71</v>
      </c>
      <c r="H29" t="s">
        <v>95</v>
      </c>
      <c r="I29" s="3">
        <v>7969.42</v>
      </c>
      <c r="J29" s="4">
        <v>100</v>
      </c>
      <c r="K29" t="s">
        <v>16</v>
      </c>
      <c r="L29" t="str" cm="1">
        <f t="array" ref="L29">_xlfn.IFS(C29&lt;18,"under 18",C29&lt;36,"btw 18 &amp; 35",C29&lt;51,"btw 36 &amp;50",C29&lt;66,"btw 51 &amp; 66",C29&gt;66,"66 &amp; above")</f>
        <v>btw 51 &amp; 66</v>
      </c>
      <c r="M29">
        <f t="shared" si="0"/>
        <v>5</v>
      </c>
    </row>
    <row r="30" spans="1:13" x14ac:dyDescent="0.25">
      <c r="A30" t="s">
        <v>96</v>
      </c>
      <c r="B30" t="s">
        <v>97</v>
      </c>
      <c r="C30">
        <v>52</v>
      </c>
      <c r="D30" t="s">
        <v>13</v>
      </c>
      <c r="E30" s="2">
        <v>45753</v>
      </c>
      <c r="F30" s="2">
        <v>45759</v>
      </c>
      <c r="G30" t="s">
        <v>61</v>
      </c>
      <c r="H30" t="s">
        <v>98</v>
      </c>
      <c r="I30" s="3">
        <v>7929.71</v>
      </c>
      <c r="J30" s="4">
        <v>90</v>
      </c>
      <c r="K30" t="s">
        <v>16</v>
      </c>
      <c r="L30" t="str" cm="1">
        <f t="array" ref="L30">_xlfn.IFS(C30&lt;18,"under 18",C30&lt;36,"btw 18 &amp; 35",C30&lt;51,"btw 36 &amp;50",C30&lt;66,"btw 51 &amp; 66",C30&gt;66,"66 &amp; above")</f>
        <v>btw 51 &amp; 66</v>
      </c>
      <c r="M30">
        <f t="shared" si="0"/>
        <v>6</v>
      </c>
    </row>
    <row r="31" spans="1:13" x14ac:dyDescent="0.25">
      <c r="A31" t="s">
        <v>99</v>
      </c>
      <c r="B31" t="s">
        <v>100</v>
      </c>
      <c r="C31">
        <v>35</v>
      </c>
      <c r="D31" t="s">
        <v>19</v>
      </c>
      <c r="E31" s="2">
        <v>45566</v>
      </c>
      <c r="F31" s="2">
        <v>45569</v>
      </c>
      <c r="G31" t="s">
        <v>24</v>
      </c>
      <c r="H31" t="s">
        <v>29</v>
      </c>
      <c r="I31" s="3">
        <v>4772.8900000000003</v>
      </c>
      <c r="J31" s="4">
        <v>90</v>
      </c>
      <c r="K31" t="s">
        <v>16</v>
      </c>
      <c r="L31" t="str" cm="1">
        <f t="array" ref="L31">_xlfn.IFS(C31&lt;18,"under 18",C31&lt;36,"btw 18 &amp; 35",C31&lt;51,"btw 36 &amp;50",C31&lt;66,"btw 51 &amp; 66",C31&gt;66,"66 &amp; above")</f>
        <v>btw 18 &amp; 35</v>
      </c>
      <c r="M31">
        <f t="shared" si="0"/>
        <v>3</v>
      </c>
    </row>
    <row r="32" spans="1:13" x14ac:dyDescent="0.25">
      <c r="A32" t="s">
        <v>101</v>
      </c>
      <c r="B32" t="s">
        <v>102</v>
      </c>
      <c r="C32">
        <v>79</v>
      </c>
      <c r="D32" t="s">
        <v>19</v>
      </c>
      <c r="E32" s="2">
        <v>45466</v>
      </c>
      <c r="F32" s="2">
        <v>45469</v>
      </c>
      <c r="G32" t="s">
        <v>14</v>
      </c>
      <c r="H32" t="s">
        <v>103</v>
      </c>
      <c r="I32" s="3">
        <v>6826.49</v>
      </c>
      <c r="J32" s="4">
        <v>80</v>
      </c>
      <c r="K32" t="s">
        <v>16</v>
      </c>
      <c r="L32" t="str" cm="1">
        <f t="array" ref="L32">_xlfn.IFS(C32&lt;18,"under 18",C32&lt;36,"btw 18 &amp; 35",C32&lt;51,"btw 36 &amp;50",C32&lt;66,"btw 51 &amp; 66",C32&gt;66,"66 &amp; above")</f>
        <v>66 &amp; above</v>
      </c>
      <c r="M32">
        <f t="shared" si="0"/>
        <v>3</v>
      </c>
    </row>
    <row r="33" spans="1:13" x14ac:dyDescent="0.25">
      <c r="A33" t="s">
        <v>104</v>
      </c>
      <c r="B33" t="s">
        <v>105</v>
      </c>
      <c r="C33">
        <v>69</v>
      </c>
      <c r="D33" t="s">
        <v>19</v>
      </c>
      <c r="E33" s="2">
        <v>45371</v>
      </c>
      <c r="F33" s="2">
        <v>45373</v>
      </c>
      <c r="G33" t="s">
        <v>32</v>
      </c>
      <c r="H33" t="s">
        <v>33</v>
      </c>
      <c r="I33" s="3">
        <v>2177.7800000000002</v>
      </c>
      <c r="J33" s="4">
        <v>90</v>
      </c>
      <c r="K33" t="s">
        <v>26</v>
      </c>
      <c r="L33" t="str" cm="1">
        <f t="array" ref="L33">_xlfn.IFS(C33&lt;18,"under 18",C33&lt;36,"btw 18 &amp; 35",C33&lt;51,"btw 36 &amp;50",C33&lt;66,"btw 51 &amp; 66",C33&gt;66,"66 &amp; above")</f>
        <v>66 &amp; above</v>
      </c>
      <c r="M33">
        <f t="shared" si="0"/>
        <v>2</v>
      </c>
    </row>
    <row r="34" spans="1:13" x14ac:dyDescent="0.25">
      <c r="A34" t="s">
        <v>106</v>
      </c>
      <c r="B34" t="s">
        <v>107</v>
      </c>
      <c r="C34">
        <v>21</v>
      </c>
      <c r="D34" t="s">
        <v>19</v>
      </c>
      <c r="E34" s="2">
        <v>45798</v>
      </c>
      <c r="F34" s="2">
        <v>45800</v>
      </c>
      <c r="G34" t="s">
        <v>24</v>
      </c>
      <c r="H34" t="s">
        <v>29</v>
      </c>
      <c r="I34" s="3">
        <v>3527.3</v>
      </c>
      <c r="J34" s="4">
        <v>0</v>
      </c>
      <c r="K34" t="s">
        <v>26</v>
      </c>
      <c r="L34" t="str" cm="1">
        <f t="array" ref="L34">_xlfn.IFS(C34&lt;18,"under 18",C34&lt;36,"btw 18 &amp; 35",C34&lt;51,"btw 36 &amp;50",C34&lt;66,"btw 51 &amp; 66",C34&gt;66,"66 &amp; above")</f>
        <v>btw 18 &amp; 35</v>
      </c>
      <c r="M34">
        <f t="shared" si="0"/>
        <v>2</v>
      </c>
    </row>
    <row r="35" spans="1:13" x14ac:dyDescent="0.25">
      <c r="A35" t="s">
        <v>108</v>
      </c>
      <c r="B35" t="s">
        <v>109</v>
      </c>
      <c r="C35">
        <v>49</v>
      </c>
      <c r="D35" t="s">
        <v>13</v>
      </c>
      <c r="E35" s="2">
        <v>45945</v>
      </c>
      <c r="F35" s="2">
        <v>45946</v>
      </c>
      <c r="G35" t="s">
        <v>24</v>
      </c>
      <c r="H35" t="s">
        <v>29</v>
      </c>
      <c r="I35" s="3">
        <v>1184.01</v>
      </c>
      <c r="J35" s="4">
        <v>100</v>
      </c>
      <c r="K35" t="s">
        <v>16</v>
      </c>
      <c r="L35" t="str" cm="1">
        <f t="array" ref="L35">_xlfn.IFS(C35&lt;18,"under 18",C35&lt;36,"btw 18 &amp; 35",C35&lt;51,"btw 36 &amp;50",C35&lt;66,"btw 51 &amp; 66",C35&gt;66,"66 &amp; above")</f>
        <v>btw 36 &amp;50</v>
      </c>
      <c r="M35">
        <f t="shared" si="0"/>
        <v>1</v>
      </c>
    </row>
    <row r="36" spans="1:13" x14ac:dyDescent="0.25">
      <c r="A36" t="s">
        <v>110</v>
      </c>
      <c r="B36" t="s">
        <v>111</v>
      </c>
      <c r="C36">
        <v>61</v>
      </c>
      <c r="D36" t="s">
        <v>13</v>
      </c>
      <c r="E36" s="2">
        <v>45737</v>
      </c>
      <c r="F36" s="2">
        <v>45742</v>
      </c>
      <c r="G36" t="s">
        <v>14</v>
      </c>
      <c r="H36" t="s">
        <v>112</v>
      </c>
      <c r="I36" s="3">
        <v>10760.65</v>
      </c>
      <c r="J36" s="4">
        <v>100</v>
      </c>
      <c r="K36" t="s">
        <v>16</v>
      </c>
      <c r="L36" t="str" cm="1">
        <f t="array" ref="L36">_xlfn.IFS(C36&lt;18,"under 18",C36&lt;36,"btw 18 &amp; 35",C36&lt;51,"btw 36 &amp;50",C36&lt;66,"btw 51 &amp; 66",C36&gt;66,"66 &amp; above")</f>
        <v>btw 51 &amp; 66</v>
      </c>
      <c r="M36">
        <f t="shared" si="0"/>
        <v>5</v>
      </c>
    </row>
    <row r="37" spans="1:13" x14ac:dyDescent="0.25">
      <c r="A37" t="s">
        <v>113</v>
      </c>
      <c r="B37" t="s">
        <v>114</v>
      </c>
      <c r="C37">
        <v>32</v>
      </c>
      <c r="D37" t="s">
        <v>19</v>
      </c>
      <c r="E37" s="2">
        <v>45878</v>
      </c>
      <c r="F37" s="2">
        <v>45883</v>
      </c>
      <c r="G37" t="s">
        <v>32</v>
      </c>
      <c r="H37" t="s">
        <v>115</v>
      </c>
      <c r="I37" s="3">
        <v>7422.15</v>
      </c>
      <c r="J37" s="4">
        <v>60</v>
      </c>
      <c r="K37" t="s">
        <v>21</v>
      </c>
      <c r="L37" t="str" cm="1">
        <f t="array" ref="L37">_xlfn.IFS(C37&lt;18,"under 18",C37&lt;36,"btw 18 &amp; 35",C37&lt;51,"btw 36 &amp;50",C37&lt;66,"btw 51 &amp; 66",C37&gt;66,"66 &amp; above")</f>
        <v>btw 18 &amp; 35</v>
      </c>
      <c r="M37">
        <f t="shared" si="0"/>
        <v>5</v>
      </c>
    </row>
    <row r="38" spans="1:13" x14ac:dyDescent="0.25">
      <c r="A38" t="s">
        <v>116</v>
      </c>
      <c r="B38" t="s">
        <v>117</v>
      </c>
      <c r="C38">
        <v>7</v>
      </c>
      <c r="D38" t="s">
        <v>19</v>
      </c>
      <c r="E38" s="2">
        <v>45811</v>
      </c>
      <c r="F38" s="2">
        <v>45816</v>
      </c>
      <c r="G38" t="s">
        <v>50</v>
      </c>
      <c r="H38" t="s">
        <v>118</v>
      </c>
      <c r="I38" s="3">
        <v>3623.14</v>
      </c>
      <c r="J38" s="4">
        <v>50</v>
      </c>
      <c r="K38" t="s">
        <v>16</v>
      </c>
      <c r="L38" t="str" cm="1">
        <f t="array" ref="L38">_xlfn.IFS(C38&lt;18,"under 18",C38&lt;36,"btw 18 &amp; 35",C38&lt;51,"btw 36 &amp;50",C38&lt;66,"btw 51 &amp; 66",C38&gt;66,"66 &amp; above")</f>
        <v>under 18</v>
      </c>
      <c r="M38">
        <f t="shared" si="0"/>
        <v>5</v>
      </c>
    </row>
    <row r="39" spans="1:13" x14ac:dyDescent="0.25">
      <c r="A39" t="s">
        <v>119</v>
      </c>
      <c r="B39" t="s">
        <v>120</v>
      </c>
      <c r="C39">
        <v>7</v>
      </c>
      <c r="D39" t="s">
        <v>13</v>
      </c>
      <c r="E39" s="2">
        <v>45636</v>
      </c>
      <c r="F39" s="2">
        <v>45637</v>
      </c>
      <c r="G39" t="s">
        <v>50</v>
      </c>
      <c r="H39" t="s">
        <v>121</v>
      </c>
      <c r="I39" s="3">
        <v>946.04</v>
      </c>
      <c r="J39" s="4">
        <v>90</v>
      </c>
      <c r="K39" t="s">
        <v>21</v>
      </c>
      <c r="L39" t="str" cm="1">
        <f t="array" ref="L39">_xlfn.IFS(C39&lt;18,"under 18",C39&lt;36,"btw 18 &amp; 35",C39&lt;51,"btw 36 &amp;50",C39&lt;66,"btw 51 &amp; 66",C39&gt;66,"66 &amp; above")</f>
        <v>under 18</v>
      </c>
      <c r="M39">
        <f t="shared" si="0"/>
        <v>1</v>
      </c>
    </row>
    <row r="40" spans="1:13" x14ac:dyDescent="0.25">
      <c r="A40" t="s">
        <v>122</v>
      </c>
      <c r="B40" t="s">
        <v>123</v>
      </c>
      <c r="C40">
        <v>4</v>
      </c>
      <c r="D40" t="s">
        <v>13</v>
      </c>
      <c r="E40" s="2">
        <v>45952</v>
      </c>
      <c r="F40" s="2">
        <v>45955</v>
      </c>
      <c r="G40" t="s">
        <v>50</v>
      </c>
      <c r="H40" t="s">
        <v>124</v>
      </c>
      <c r="I40" s="3">
        <v>3976.01</v>
      </c>
      <c r="J40" s="4">
        <v>60</v>
      </c>
      <c r="K40" t="s">
        <v>26</v>
      </c>
      <c r="L40" t="str" cm="1">
        <f t="array" ref="L40">_xlfn.IFS(C40&lt;18,"under 18",C40&lt;36,"btw 18 &amp; 35",C40&lt;51,"btw 36 &amp;50",C40&lt;66,"btw 51 &amp; 66",C40&gt;66,"66 &amp; above")</f>
        <v>under 18</v>
      </c>
      <c r="M40">
        <f t="shared" si="0"/>
        <v>3</v>
      </c>
    </row>
    <row r="41" spans="1:13" x14ac:dyDescent="0.25">
      <c r="A41" t="s">
        <v>125</v>
      </c>
      <c r="B41" t="s">
        <v>126</v>
      </c>
      <c r="C41">
        <v>81</v>
      </c>
      <c r="D41" t="s">
        <v>19</v>
      </c>
      <c r="E41" s="2">
        <v>45643</v>
      </c>
      <c r="F41" s="2">
        <v>45652</v>
      </c>
      <c r="G41" t="s">
        <v>14</v>
      </c>
      <c r="H41" t="s">
        <v>15</v>
      </c>
      <c r="I41" s="3">
        <v>26928.32</v>
      </c>
      <c r="J41" s="4">
        <v>70</v>
      </c>
      <c r="K41" t="s">
        <v>26</v>
      </c>
      <c r="L41" t="str" cm="1">
        <f t="array" ref="L41">_xlfn.IFS(C41&lt;18,"under 18",C41&lt;36,"btw 18 &amp; 35",C41&lt;51,"btw 36 &amp;50",C41&lt;66,"btw 51 &amp; 66",C41&gt;66,"66 &amp; above")</f>
        <v>66 &amp; above</v>
      </c>
      <c r="M41">
        <f t="shared" si="0"/>
        <v>9</v>
      </c>
    </row>
    <row r="42" spans="1:13" x14ac:dyDescent="0.25">
      <c r="A42" t="s">
        <v>127</v>
      </c>
      <c r="B42" t="s">
        <v>128</v>
      </c>
      <c r="C42">
        <v>81</v>
      </c>
      <c r="D42" t="s">
        <v>19</v>
      </c>
      <c r="E42" s="2">
        <v>45701</v>
      </c>
      <c r="F42" s="2">
        <v>45706</v>
      </c>
      <c r="G42" t="s">
        <v>14</v>
      </c>
      <c r="H42" t="s">
        <v>103</v>
      </c>
      <c r="I42" s="3">
        <v>7203.24</v>
      </c>
      <c r="J42" s="4">
        <v>70</v>
      </c>
      <c r="K42" t="s">
        <v>16</v>
      </c>
      <c r="L42" t="str" cm="1">
        <f t="array" ref="L42">_xlfn.IFS(C42&lt;18,"under 18",C42&lt;36,"btw 18 &amp; 35",C42&lt;51,"btw 36 &amp;50",C42&lt;66,"btw 51 &amp; 66",C42&gt;66,"66 &amp; above")</f>
        <v>66 &amp; above</v>
      </c>
      <c r="M42">
        <f t="shared" si="0"/>
        <v>5</v>
      </c>
    </row>
    <row r="43" spans="1:13" x14ac:dyDescent="0.25">
      <c r="A43" t="s">
        <v>129</v>
      </c>
      <c r="B43" t="s">
        <v>130</v>
      </c>
      <c r="C43">
        <v>14</v>
      </c>
      <c r="D43" t="s">
        <v>19</v>
      </c>
      <c r="E43" s="2">
        <v>45979</v>
      </c>
      <c r="F43" s="2">
        <v>45983</v>
      </c>
      <c r="G43" t="s">
        <v>50</v>
      </c>
      <c r="H43" t="s">
        <v>131</v>
      </c>
      <c r="I43" s="3">
        <v>5685.06</v>
      </c>
      <c r="J43" s="4">
        <v>80</v>
      </c>
      <c r="K43" t="s">
        <v>16</v>
      </c>
      <c r="L43" t="str" cm="1">
        <f t="array" ref="L43">_xlfn.IFS(C43&lt;18,"under 18",C43&lt;36,"btw 18 &amp; 35",C43&lt;51,"btw 36 &amp;50",C43&lt;66,"btw 51 &amp; 66",C43&gt;66,"66 &amp; above")</f>
        <v>under 18</v>
      </c>
      <c r="M43">
        <f t="shared" si="0"/>
        <v>4</v>
      </c>
    </row>
    <row r="44" spans="1:13" x14ac:dyDescent="0.25">
      <c r="A44" t="s">
        <v>132</v>
      </c>
      <c r="B44" t="s">
        <v>133</v>
      </c>
      <c r="C44">
        <v>73</v>
      </c>
      <c r="D44" t="s">
        <v>19</v>
      </c>
      <c r="E44" s="2">
        <v>45905</v>
      </c>
      <c r="F44" s="2">
        <v>45908</v>
      </c>
      <c r="G44" t="s">
        <v>61</v>
      </c>
      <c r="H44" t="s">
        <v>134</v>
      </c>
      <c r="I44" s="3">
        <v>4949.0600000000004</v>
      </c>
      <c r="J44" s="4">
        <v>50</v>
      </c>
      <c r="K44" t="s">
        <v>16</v>
      </c>
      <c r="L44" t="str" cm="1">
        <f t="array" ref="L44">_xlfn.IFS(C44&lt;18,"under 18",C44&lt;36,"btw 18 &amp; 35",C44&lt;51,"btw 36 &amp;50",C44&lt;66,"btw 51 &amp; 66",C44&gt;66,"66 &amp; above")</f>
        <v>66 &amp; above</v>
      </c>
      <c r="M44">
        <f t="shared" si="0"/>
        <v>3</v>
      </c>
    </row>
    <row r="45" spans="1:13" x14ac:dyDescent="0.25">
      <c r="A45" t="s">
        <v>135</v>
      </c>
      <c r="B45" t="s">
        <v>82</v>
      </c>
      <c r="C45">
        <v>50</v>
      </c>
      <c r="D45" t="s">
        <v>13</v>
      </c>
      <c r="E45" s="2">
        <v>45638</v>
      </c>
      <c r="F45" s="2">
        <v>45642</v>
      </c>
      <c r="G45" t="s">
        <v>61</v>
      </c>
      <c r="H45" t="s">
        <v>78</v>
      </c>
      <c r="I45" s="3">
        <v>5586.28</v>
      </c>
      <c r="J45" s="4">
        <v>90</v>
      </c>
      <c r="K45" t="s">
        <v>16</v>
      </c>
      <c r="L45" t="str" cm="1">
        <f t="array" ref="L45">_xlfn.IFS(C45&lt;18,"under 18",C45&lt;36,"btw 18 &amp; 35",C45&lt;51,"btw 36 &amp;50",C45&lt;66,"btw 51 &amp; 66",C45&gt;66,"66 &amp; above")</f>
        <v>btw 36 &amp;50</v>
      </c>
      <c r="M45">
        <f t="shared" si="0"/>
        <v>4</v>
      </c>
    </row>
    <row r="46" spans="1:13" x14ac:dyDescent="0.25">
      <c r="A46" t="s">
        <v>136</v>
      </c>
      <c r="B46" t="s">
        <v>137</v>
      </c>
      <c r="C46">
        <v>73</v>
      </c>
      <c r="D46" t="s">
        <v>19</v>
      </c>
      <c r="E46" s="2">
        <v>45490</v>
      </c>
      <c r="F46" s="2">
        <v>45491</v>
      </c>
      <c r="G46" t="s">
        <v>32</v>
      </c>
      <c r="H46" t="s">
        <v>54</v>
      </c>
      <c r="I46" s="3">
        <v>766.8</v>
      </c>
      <c r="J46" s="4">
        <v>60</v>
      </c>
      <c r="K46" t="s">
        <v>21</v>
      </c>
      <c r="L46" t="str" cm="1">
        <f t="array" ref="L46">_xlfn.IFS(C46&lt;18,"under 18",C46&lt;36,"btw 18 &amp; 35",C46&lt;51,"btw 36 &amp;50",C46&lt;66,"btw 51 &amp; 66",C46&gt;66,"66 &amp; above")</f>
        <v>66 &amp; above</v>
      </c>
      <c r="M46">
        <f t="shared" si="0"/>
        <v>1</v>
      </c>
    </row>
    <row r="47" spans="1:13" x14ac:dyDescent="0.25">
      <c r="A47" t="s">
        <v>138</v>
      </c>
      <c r="B47" t="s">
        <v>117</v>
      </c>
      <c r="C47">
        <v>60</v>
      </c>
      <c r="D47" t="s">
        <v>19</v>
      </c>
      <c r="E47" s="2">
        <v>45425</v>
      </c>
      <c r="F47" s="2">
        <v>45438</v>
      </c>
      <c r="G47" t="s">
        <v>61</v>
      </c>
      <c r="H47" t="s">
        <v>75</v>
      </c>
      <c r="I47" s="3">
        <v>28480.18</v>
      </c>
      <c r="J47" s="4">
        <v>70</v>
      </c>
      <c r="K47" t="s">
        <v>16</v>
      </c>
      <c r="L47" t="str" cm="1">
        <f t="array" ref="L47">_xlfn.IFS(C47&lt;18,"under 18",C47&lt;36,"btw 18 &amp; 35",C47&lt;51,"btw 36 &amp;50",C47&lt;66,"btw 51 &amp; 66",C47&gt;66,"66 &amp; above")</f>
        <v>btw 51 &amp; 66</v>
      </c>
      <c r="M47">
        <f t="shared" si="0"/>
        <v>13</v>
      </c>
    </row>
    <row r="48" spans="1:13" x14ac:dyDescent="0.25">
      <c r="A48" t="s">
        <v>139</v>
      </c>
      <c r="B48" t="s">
        <v>140</v>
      </c>
      <c r="C48">
        <v>37</v>
      </c>
      <c r="D48" t="s">
        <v>19</v>
      </c>
      <c r="E48" s="2">
        <v>45663</v>
      </c>
      <c r="F48" s="2">
        <v>45665</v>
      </c>
      <c r="G48" t="s">
        <v>32</v>
      </c>
      <c r="H48" t="s">
        <v>115</v>
      </c>
      <c r="I48" s="3">
        <v>1098.9100000000001</v>
      </c>
      <c r="J48" s="4">
        <v>70</v>
      </c>
      <c r="K48" t="s">
        <v>21</v>
      </c>
      <c r="L48" t="str" cm="1">
        <f t="array" ref="L48">_xlfn.IFS(C48&lt;18,"under 18",C48&lt;36,"btw 18 &amp; 35",C48&lt;51,"btw 36 &amp;50",C48&lt;66,"btw 51 &amp; 66",C48&gt;66,"66 &amp; above")</f>
        <v>btw 36 &amp;50</v>
      </c>
      <c r="M48">
        <f t="shared" si="0"/>
        <v>2</v>
      </c>
    </row>
    <row r="49" spans="1:13" x14ac:dyDescent="0.25">
      <c r="A49" t="s">
        <v>141</v>
      </c>
      <c r="B49" t="s">
        <v>142</v>
      </c>
      <c r="C49">
        <v>54</v>
      </c>
      <c r="D49" t="s">
        <v>13</v>
      </c>
      <c r="E49" s="2">
        <v>45966</v>
      </c>
      <c r="F49" s="2">
        <v>45976</v>
      </c>
      <c r="G49" t="s">
        <v>61</v>
      </c>
      <c r="H49" t="s">
        <v>143</v>
      </c>
      <c r="I49" s="3">
        <v>22377.119999999999</v>
      </c>
      <c r="J49" s="4">
        <v>80</v>
      </c>
      <c r="K49" t="s">
        <v>16</v>
      </c>
      <c r="L49" t="str" cm="1">
        <f t="array" ref="L49">_xlfn.IFS(C49&lt;18,"under 18",C49&lt;36,"btw 18 &amp; 35",C49&lt;51,"btw 36 &amp;50",C49&lt;66,"btw 51 &amp; 66",C49&gt;66,"66 &amp; above")</f>
        <v>btw 51 &amp; 66</v>
      </c>
      <c r="M49">
        <f t="shared" si="0"/>
        <v>10</v>
      </c>
    </row>
    <row r="50" spans="1:13" x14ac:dyDescent="0.25">
      <c r="A50" t="s">
        <v>144</v>
      </c>
      <c r="B50" t="s">
        <v>145</v>
      </c>
      <c r="C50">
        <v>1</v>
      </c>
      <c r="D50" t="s">
        <v>13</v>
      </c>
      <c r="E50" s="2">
        <v>45545</v>
      </c>
      <c r="F50" s="2">
        <v>45549</v>
      </c>
      <c r="G50" t="s">
        <v>50</v>
      </c>
      <c r="H50" t="s">
        <v>121</v>
      </c>
      <c r="I50" s="3">
        <v>3895.9</v>
      </c>
      <c r="J50" s="4">
        <v>0</v>
      </c>
      <c r="K50" t="s">
        <v>21</v>
      </c>
      <c r="L50" t="str" cm="1">
        <f t="array" ref="L50">_xlfn.IFS(C50&lt;18,"under 18",C50&lt;36,"btw 18 &amp; 35",C50&lt;51,"btw 36 &amp;50",C50&lt;66,"btw 51 &amp; 66",C50&gt;66,"66 &amp; above")</f>
        <v>under 18</v>
      </c>
      <c r="M50">
        <f t="shared" si="0"/>
        <v>4</v>
      </c>
    </row>
    <row r="51" spans="1:13" x14ac:dyDescent="0.25">
      <c r="A51" t="s">
        <v>146</v>
      </c>
      <c r="B51" t="s">
        <v>147</v>
      </c>
      <c r="C51">
        <v>51</v>
      </c>
      <c r="D51" t="s">
        <v>13</v>
      </c>
      <c r="E51" s="2">
        <v>45920</v>
      </c>
      <c r="F51" s="2">
        <v>45929</v>
      </c>
      <c r="G51" t="s">
        <v>61</v>
      </c>
      <c r="H51" t="s">
        <v>143</v>
      </c>
      <c r="I51" s="3">
        <v>10684</v>
      </c>
      <c r="J51" s="4">
        <v>60</v>
      </c>
      <c r="K51" t="s">
        <v>16</v>
      </c>
      <c r="L51" t="str" cm="1">
        <f t="array" ref="L51">_xlfn.IFS(C51&lt;18,"under 18",C51&lt;36,"btw 18 &amp; 35",C51&lt;51,"btw 36 &amp;50",C51&lt;66,"btw 51 &amp; 66",C51&gt;66,"66 &amp; above")</f>
        <v>btw 51 &amp; 66</v>
      </c>
      <c r="M51">
        <f t="shared" si="0"/>
        <v>9</v>
      </c>
    </row>
    <row r="52" spans="1:13" x14ac:dyDescent="0.25">
      <c r="A52" t="s">
        <v>148</v>
      </c>
      <c r="B52" t="s">
        <v>149</v>
      </c>
      <c r="C52">
        <v>23</v>
      </c>
      <c r="D52" t="s">
        <v>19</v>
      </c>
      <c r="E52" s="2">
        <v>45479</v>
      </c>
      <c r="F52" s="2">
        <v>45483</v>
      </c>
      <c r="G52" t="s">
        <v>32</v>
      </c>
      <c r="H52" t="s">
        <v>36</v>
      </c>
      <c r="I52" s="3">
        <v>3643.5</v>
      </c>
      <c r="J52" s="4">
        <v>70</v>
      </c>
      <c r="K52" t="s">
        <v>26</v>
      </c>
      <c r="L52" t="str" cm="1">
        <f t="array" ref="L52">_xlfn.IFS(C52&lt;18,"under 18",C52&lt;36,"btw 18 &amp; 35",C52&lt;51,"btw 36 &amp;50",C52&lt;66,"btw 51 &amp; 66",C52&gt;66,"66 &amp; above")</f>
        <v>btw 18 &amp; 35</v>
      </c>
      <c r="M52">
        <f t="shared" si="0"/>
        <v>4</v>
      </c>
    </row>
    <row r="53" spans="1:13" x14ac:dyDescent="0.25">
      <c r="A53" t="s">
        <v>150</v>
      </c>
      <c r="B53" t="s">
        <v>151</v>
      </c>
      <c r="C53">
        <v>67</v>
      </c>
      <c r="D53" t="s">
        <v>19</v>
      </c>
      <c r="E53" s="2">
        <v>45575</v>
      </c>
      <c r="F53" s="2">
        <v>45578</v>
      </c>
      <c r="G53" t="s">
        <v>24</v>
      </c>
      <c r="H53" t="s">
        <v>25</v>
      </c>
      <c r="I53" s="3">
        <v>5702.96</v>
      </c>
      <c r="J53" s="4">
        <v>80</v>
      </c>
      <c r="K53" t="s">
        <v>16</v>
      </c>
      <c r="L53" t="str" cm="1">
        <f t="array" ref="L53">_xlfn.IFS(C53&lt;18,"under 18",C53&lt;36,"btw 18 &amp; 35",C53&lt;51,"btw 36 &amp;50",C53&lt;66,"btw 51 &amp; 66",C53&gt;66,"66 &amp; above")</f>
        <v>66 &amp; above</v>
      </c>
      <c r="M53">
        <f t="shared" si="0"/>
        <v>3</v>
      </c>
    </row>
    <row r="54" spans="1:13" x14ac:dyDescent="0.25">
      <c r="A54" t="s">
        <v>152</v>
      </c>
      <c r="B54" t="s">
        <v>153</v>
      </c>
      <c r="C54">
        <v>63</v>
      </c>
      <c r="D54" t="s">
        <v>13</v>
      </c>
      <c r="E54" s="2">
        <v>45905</v>
      </c>
      <c r="F54" s="2">
        <v>45912</v>
      </c>
      <c r="G54" t="s">
        <v>14</v>
      </c>
      <c r="H54" t="s">
        <v>20</v>
      </c>
      <c r="I54" s="3">
        <v>18049.650000000001</v>
      </c>
      <c r="J54" s="4">
        <v>80</v>
      </c>
      <c r="K54" t="s">
        <v>16</v>
      </c>
      <c r="L54" t="str" cm="1">
        <f t="array" ref="L54">_xlfn.IFS(C54&lt;18,"under 18",C54&lt;36,"btw 18 &amp; 35",C54&lt;51,"btw 36 &amp;50",C54&lt;66,"btw 51 &amp; 66",C54&gt;66,"66 &amp; above")</f>
        <v>btw 51 &amp; 66</v>
      </c>
      <c r="M54">
        <f t="shared" si="0"/>
        <v>7</v>
      </c>
    </row>
    <row r="55" spans="1:13" x14ac:dyDescent="0.25">
      <c r="A55" t="s">
        <v>154</v>
      </c>
      <c r="B55" t="s">
        <v>155</v>
      </c>
      <c r="C55">
        <v>59</v>
      </c>
      <c r="D55" t="s">
        <v>13</v>
      </c>
      <c r="E55" s="2">
        <v>45751</v>
      </c>
      <c r="F55" s="2">
        <v>45757</v>
      </c>
      <c r="G55" t="s">
        <v>14</v>
      </c>
      <c r="H55" t="s">
        <v>15</v>
      </c>
      <c r="I55" s="3">
        <v>16488.400000000001</v>
      </c>
      <c r="J55" s="4">
        <v>80</v>
      </c>
      <c r="K55" t="s">
        <v>16</v>
      </c>
      <c r="L55" t="str" cm="1">
        <f t="array" ref="L55">_xlfn.IFS(C55&lt;18,"under 18",C55&lt;36,"btw 18 &amp; 35",C55&lt;51,"btw 36 &amp;50",C55&lt;66,"btw 51 &amp; 66",C55&gt;66,"66 &amp; above")</f>
        <v>btw 51 &amp; 66</v>
      </c>
      <c r="M55">
        <f t="shared" si="0"/>
        <v>6</v>
      </c>
    </row>
    <row r="56" spans="1:13" x14ac:dyDescent="0.25">
      <c r="A56" t="s">
        <v>156</v>
      </c>
      <c r="B56" t="s">
        <v>157</v>
      </c>
      <c r="C56">
        <v>64</v>
      </c>
      <c r="D56" t="s">
        <v>19</v>
      </c>
      <c r="E56" s="2">
        <v>45662</v>
      </c>
      <c r="F56" s="2">
        <v>45670</v>
      </c>
      <c r="G56" t="s">
        <v>71</v>
      </c>
      <c r="H56" t="s">
        <v>158</v>
      </c>
      <c r="I56" s="3">
        <v>18217.14</v>
      </c>
      <c r="J56" s="4">
        <v>50</v>
      </c>
      <c r="K56" t="s">
        <v>26</v>
      </c>
      <c r="L56" t="str" cm="1">
        <f t="array" ref="L56">_xlfn.IFS(C56&lt;18,"under 18",C56&lt;36,"btw 18 &amp; 35",C56&lt;51,"btw 36 &amp;50",C56&lt;66,"btw 51 &amp; 66",C56&gt;66,"66 &amp; above")</f>
        <v>btw 51 &amp; 66</v>
      </c>
      <c r="M56">
        <f t="shared" si="0"/>
        <v>8</v>
      </c>
    </row>
    <row r="57" spans="1:13" x14ac:dyDescent="0.25">
      <c r="A57" t="s">
        <v>159</v>
      </c>
      <c r="B57" t="s">
        <v>160</v>
      </c>
      <c r="C57">
        <v>60</v>
      </c>
      <c r="D57" t="s">
        <v>13</v>
      </c>
      <c r="E57" s="2">
        <v>45608</v>
      </c>
      <c r="F57" s="2">
        <v>45619</v>
      </c>
      <c r="G57" t="s">
        <v>61</v>
      </c>
      <c r="H57" t="s">
        <v>75</v>
      </c>
      <c r="I57" s="3">
        <v>16175.09</v>
      </c>
      <c r="J57" s="4">
        <v>80</v>
      </c>
      <c r="K57" t="s">
        <v>21</v>
      </c>
      <c r="L57" t="str" cm="1">
        <f t="array" ref="L57">_xlfn.IFS(C57&lt;18,"under 18",C57&lt;36,"btw 18 &amp; 35",C57&lt;51,"btw 36 &amp;50",C57&lt;66,"btw 51 &amp; 66",C57&gt;66,"66 &amp; above")</f>
        <v>btw 51 &amp; 66</v>
      </c>
      <c r="M57">
        <f t="shared" si="0"/>
        <v>11</v>
      </c>
    </row>
    <row r="58" spans="1:13" x14ac:dyDescent="0.25">
      <c r="A58" t="s">
        <v>161</v>
      </c>
      <c r="B58" t="s">
        <v>162</v>
      </c>
      <c r="C58">
        <v>77</v>
      </c>
      <c r="D58" t="s">
        <v>19</v>
      </c>
      <c r="E58" s="2">
        <v>45372</v>
      </c>
      <c r="F58" s="2">
        <v>45380</v>
      </c>
      <c r="G58" t="s">
        <v>14</v>
      </c>
      <c r="H58" t="s">
        <v>15</v>
      </c>
      <c r="I58" s="3">
        <v>12858.55</v>
      </c>
      <c r="J58" s="4">
        <v>80</v>
      </c>
      <c r="K58" t="s">
        <v>21</v>
      </c>
      <c r="L58" t="str" cm="1">
        <f t="array" ref="L58">_xlfn.IFS(C58&lt;18,"under 18",C58&lt;36,"btw 18 &amp; 35",C58&lt;51,"btw 36 &amp;50",C58&lt;66,"btw 51 &amp; 66",C58&gt;66,"66 &amp; above")</f>
        <v>66 &amp; above</v>
      </c>
      <c r="M58">
        <f t="shared" si="0"/>
        <v>8</v>
      </c>
    </row>
    <row r="59" spans="1:13" x14ac:dyDescent="0.25">
      <c r="A59" t="s">
        <v>163</v>
      </c>
      <c r="B59" t="s">
        <v>164</v>
      </c>
      <c r="C59">
        <v>29</v>
      </c>
      <c r="D59" t="s">
        <v>13</v>
      </c>
      <c r="E59" s="2">
        <v>45782</v>
      </c>
      <c r="F59" s="2">
        <v>45796</v>
      </c>
      <c r="G59" t="s">
        <v>61</v>
      </c>
      <c r="H59" t="s">
        <v>75</v>
      </c>
      <c r="I59" s="3">
        <v>14617.11</v>
      </c>
      <c r="J59" s="4">
        <v>0</v>
      </c>
      <c r="K59" t="s">
        <v>26</v>
      </c>
      <c r="L59" t="str" cm="1">
        <f t="array" ref="L59">_xlfn.IFS(C59&lt;18,"under 18",C59&lt;36,"btw 18 &amp; 35",C59&lt;51,"btw 36 &amp;50",C59&lt;66,"btw 51 &amp; 66",C59&gt;66,"66 &amp; above")</f>
        <v>btw 18 &amp; 35</v>
      </c>
      <c r="M59">
        <f t="shared" si="0"/>
        <v>14</v>
      </c>
    </row>
    <row r="60" spans="1:13" x14ac:dyDescent="0.25">
      <c r="A60" t="s">
        <v>165</v>
      </c>
      <c r="B60" t="s">
        <v>120</v>
      </c>
      <c r="C60">
        <v>77</v>
      </c>
      <c r="D60" t="s">
        <v>13</v>
      </c>
      <c r="E60" s="2">
        <v>45331</v>
      </c>
      <c r="F60" s="2">
        <v>45338</v>
      </c>
      <c r="G60" t="s">
        <v>14</v>
      </c>
      <c r="H60" t="s">
        <v>166</v>
      </c>
      <c r="I60" s="3">
        <v>8848.16</v>
      </c>
      <c r="J60" s="4">
        <v>90</v>
      </c>
      <c r="K60" t="s">
        <v>16</v>
      </c>
      <c r="L60" t="str" cm="1">
        <f t="array" ref="L60">_xlfn.IFS(C60&lt;18,"under 18",C60&lt;36,"btw 18 &amp; 35",C60&lt;51,"btw 36 &amp;50",C60&lt;66,"btw 51 &amp; 66",C60&gt;66,"66 &amp; above")</f>
        <v>66 &amp; above</v>
      </c>
      <c r="M60">
        <f t="shared" si="0"/>
        <v>7</v>
      </c>
    </row>
    <row r="61" spans="1:13" x14ac:dyDescent="0.25">
      <c r="A61" t="s">
        <v>167</v>
      </c>
      <c r="B61" t="s">
        <v>90</v>
      </c>
      <c r="C61">
        <v>38</v>
      </c>
      <c r="D61" t="s">
        <v>13</v>
      </c>
      <c r="E61" s="2">
        <v>45435</v>
      </c>
      <c r="F61" s="2">
        <v>45437</v>
      </c>
      <c r="G61" t="s">
        <v>24</v>
      </c>
      <c r="H61" t="s">
        <v>83</v>
      </c>
      <c r="I61" s="3">
        <v>4529.29</v>
      </c>
      <c r="J61" s="4">
        <v>60</v>
      </c>
      <c r="K61" t="s">
        <v>26</v>
      </c>
      <c r="L61" t="str" cm="1">
        <f t="array" ref="L61">_xlfn.IFS(C61&lt;18,"under 18",C61&lt;36,"btw 18 &amp; 35",C61&lt;51,"btw 36 &amp;50",C61&lt;66,"btw 51 &amp; 66",C61&gt;66,"66 &amp; above")</f>
        <v>btw 36 &amp;50</v>
      </c>
      <c r="M61">
        <f t="shared" si="0"/>
        <v>2</v>
      </c>
    </row>
    <row r="62" spans="1:13" x14ac:dyDescent="0.25">
      <c r="A62" t="s">
        <v>168</v>
      </c>
      <c r="B62" t="s">
        <v>169</v>
      </c>
      <c r="C62">
        <v>43</v>
      </c>
      <c r="D62" t="s">
        <v>19</v>
      </c>
      <c r="E62" s="2">
        <v>45608</v>
      </c>
      <c r="F62" s="2">
        <v>45610</v>
      </c>
      <c r="G62" t="s">
        <v>32</v>
      </c>
      <c r="H62" t="s">
        <v>54</v>
      </c>
      <c r="I62" s="3">
        <v>1655.08</v>
      </c>
      <c r="J62" s="4">
        <v>80</v>
      </c>
      <c r="K62" t="s">
        <v>16</v>
      </c>
      <c r="L62" t="str" cm="1">
        <f t="array" ref="L62">_xlfn.IFS(C62&lt;18,"under 18",C62&lt;36,"btw 18 &amp; 35",C62&lt;51,"btw 36 &amp;50",C62&lt;66,"btw 51 &amp; 66",C62&gt;66,"66 &amp; above")</f>
        <v>btw 36 &amp;50</v>
      </c>
      <c r="M62">
        <f t="shared" si="0"/>
        <v>2</v>
      </c>
    </row>
    <row r="63" spans="1:13" x14ac:dyDescent="0.25">
      <c r="A63" t="s">
        <v>170</v>
      </c>
      <c r="B63" t="s">
        <v>171</v>
      </c>
      <c r="C63">
        <v>16</v>
      </c>
      <c r="D63" t="s">
        <v>13</v>
      </c>
      <c r="E63" s="2">
        <v>45776</v>
      </c>
      <c r="F63" s="2">
        <v>45777</v>
      </c>
      <c r="G63" t="s">
        <v>50</v>
      </c>
      <c r="H63" t="s">
        <v>121</v>
      </c>
      <c r="I63" s="3">
        <v>1165.3699999999999</v>
      </c>
      <c r="J63" s="4">
        <v>80</v>
      </c>
      <c r="K63" t="s">
        <v>21</v>
      </c>
      <c r="L63" t="str" cm="1">
        <f t="array" ref="L63">_xlfn.IFS(C63&lt;18,"under 18",C63&lt;36,"btw 18 &amp; 35",C63&lt;51,"btw 36 &amp;50",C63&lt;66,"btw 51 &amp; 66",C63&gt;66,"66 &amp; above")</f>
        <v>under 18</v>
      </c>
      <c r="M63">
        <f t="shared" si="0"/>
        <v>1</v>
      </c>
    </row>
    <row r="64" spans="1:13" x14ac:dyDescent="0.25">
      <c r="A64" t="s">
        <v>172</v>
      </c>
      <c r="B64" t="s">
        <v>173</v>
      </c>
      <c r="C64">
        <v>47</v>
      </c>
      <c r="D64" t="s">
        <v>19</v>
      </c>
      <c r="E64" s="2">
        <v>45771</v>
      </c>
      <c r="F64" s="2">
        <v>45775</v>
      </c>
      <c r="G64" t="s">
        <v>14</v>
      </c>
      <c r="H64" t="s">
        <v>166</v>
      </c>
      <c r="I64" s="3">
        <v>5020.34</v>
      </c>
      <c r="J64" s="4">
        <v>80</v>
      </c>
      <c r="K64" t="s">
        <v>16</v>
      </c>
      <c r="L64" t="str" cm="1">
        <f t="array" ref="L64">_xlfn.IFS(C64&lt;18,"under 18",C64&lt;36,"btw 18 &amp; 35",C64&lt;51,"btw 36 &amp;50",C64&lt;66,"btw 51 &amp; 66",C64&gt;66,"66 &amp; above")</f>
        <v>btw 36 &amp;50</v>
      </c>
      <c r="M64">
        <f t="shared" si="0"/>
        <v>4</v>
      </c>
    </row>
    <row r="65" spans="1:13" x14ac:dyDescent="0.25">
      <c r="A65" t="s">
        <v>174</v>
      </c>
      <c r="B65" t="s">
        <v>114</v>
      </c>
      <c r="C65">
        <v>5</v>
      </c>
      <c r="D65" t="s">
        <v>19</v>
      </c>
      <c r="E65" s="2">
        <v>45405</v>
      </c>
      <c r="F65" s="2">
        <v>45408</v>
      </c>
      <c r="G65" t="s">
        <v>50</v>
      </c>
      <c r="H65" t="s">
        <v>124</v>
      </c>
      <c r="I65" s="3">
        <v>4344.45</v>
      </c>
      <c r="J65" s="4">
        <v>100</v>
      </c>
      <c r="K65" t="s">
        <v>16</v>
      </c>
      <c r="L65" t="str" cm="1">
        <f t="array" ref="L65">_xlfn.IFS(C65&lt;18,"under 18",C65&lt;36,"btw 18 &amp; 35",C65&lt;51,"btw 36 &amp;50",C65&lt;66,"btw 51 &amp; 66",C65&gt;66,"66 &amp; above")</f>
        <v>under 18</v>
      </c>
      <c r="M65">
        <f t="shared" si="0"/>
        <v>3</v>
      </c>
    </row>
    <row r="66" spans="1:13" x14ac:dyDescent="0.25">
      <c r="A66" t="s">
        <v>175</v>
      </c>
      <c r="B66" t="s">
        <v>176</v>
      </c>
      <c r="C66">
        <v>40</v>
      </c>
      <c r="D66" t="s">
        <v>19</v>
      </c>
      <c r="E66" s="2">
        <v>45942</v>
      </c>
      <c r="F66" s="2">
        <v>45951</v>
      </c>
      <c r="G66" t="s">
        <v>14</v>
      </c>
      <c r="H66" t="s">
        <v>166</v>
      </c>
      <c r="I66" s="3">
        <v>11900.88</v>
      </c>
      <c r="J66" s="4">
        <v>80</v>
      </c>
      <c r="K66" t="s">
        <v>21</v>
      </c>
      <c r="L66" t="str" cm="1">
        <f t="array" ref="L66">_xlfn.IFS(C66&lt;18,"under 18",C66&lt;36,"btw 18 &amp; 35",C66&lt;51,"btw 36 &amp;50",C66&lt;66,"btw 51 &amp; 66",C66&gt;66,"66 &amp; above")</f>
        <v>btw 36 &amp;50</v>
      </c>
      <c r="M66">
        <f t="shared" si="0"/>
        <v>9</v>
      </c>
    </row>
    <row r="67" spans="1:13" x14ac:dyDescent="0.25">
      <c r="A67" t="s">
        <v>177</v>
      </c>
      <c r="B67" t="s">
        <v>178</v>
      </c>
      <c r="C67">
        <v>67</v>
      </c>
      <c r="D67" t="s">
        <v>13</v>
      </c>
      <c r="E67" s="2">
        <v>45681</v>
      </c>
      <c r="F67" s="2">
        <v>45690</v>
      </c>
      <c r="G67" t="s">
        <v>71</v>
      </c>
      <c r="H67" t="s">
        <v>95</v>
      </c>
      <c r="I67" s="3">
        <v>12380.25</v>
      </c>
      <c r="J67" s="4">
        <v>80</v>
      </c>
      <c r="K67" t="s">
        <v>16</v>
      </c>
      <c r="L67" t="str" cm="1">
        <f t="array" ref="L67">_xlfn.IFS(C67&lt;18,"under 18",C67&lt;36,"btw 18 &amp; 35",C67&lt;51,"btw 36 &amp;50",C67&lt;66,"btw 51 &amp; 66",C67&gt;66,"66 &amp; above")</f>
        <v>66 &amp; above</v>
      </c>
      <c r="M67">
        <f t="shared" ref="M67:M130" si="2">AVERAGE(F67-E67)</f>
        <v>9</v>
      </c>
    </row>
    <row r="68" spans="1:13" x14ac:dyDescent="0.25">
      <c r="A68" t="s">
        <v>179</v>
      </c>
      <c r="B68" t="s">
        <v>180</v>
      </c>
      <c r="C68">
        <v>63</v>
      </c>
      <c r="D68" t="s">
        <v>13</v>
      </c>
      <c r="E68" s="2">
        <v>45986</v>
      </c>
      <c r="F68" s="2">
        <v>45990</v>
      </c>
      <c r="G68" t="s">
        <v>14</v>
      </c>
      <c r="H68" t="s">
        <v>112</v>
      </c>
      <c r="I68" s="3">
        <v>9509.74</v>
      </c>
      <c r="J68" s="4">
        <v>90</v>
      </c>
      <c r="K68" t="s">
        <v>16</v>
      </c>
      <c r="L68" t="str" cm="1">
        <f t="array" ref="L68">_xlfn.IFS(C68&lt;18,"under 18",C68&lt;36,"btw 18 &amp; 35",C68&lt;51,"btw 36 &amp;50",C68&lt;66,"btw 51 &amp; 66",C68&gt;66,"66 &amp; above")</f>
        <v>btw 51 &amp; 66</v>
      </c>
      <c r="M68">
        <f t="shared" si="2"/>
        <v>4</v>
      </c>
    </row>
    <row r="69" spans="1:13" x14ac:dyDescent="0.25">
      <c r="A69" t="s">
        <v>181</v>
      </c>
      <c r="B69" t="s">
        <v>182</v>
      </c>
      <c r="C69">
        <v>60</v>
      </c>
      <c r="D69" t="s">
        <v>19</v>
      </c>
      <c r="E69" s="2">
        <v>45731</v>
      </c>
      <c r="F69" s="2">
        <v>45735</v>
      </c>
      <c r="G69" t="s">
        <v>71</v>
      </c>
      <c r="H69" t="s">
        <v>158</v>
      </c>
      <c r="I69" s="3">
        <v>6803.88</v>
      </c>
      <c r="J69" s="4">
        <v>80</v>
      </c>
      <c r="K69" t="s">
        <v>16</v>
      </c>
      <c r="L69" t="str" cm="1">
        <f t="array" ref="L69">_xlfn.IFS(C69&lt;18,"under 18",C69&lt;36,"btw 18 &amp; 35",C69&lt;51,"btw 36 &amp;50",C69&lt;66,"btw 51 &amp; 66",C69&gt;66,"66 &amp; above")</f>
        <v>btw 51 &amp; 66</v>
      </c>
      <c r="M69">
        <f t="shared" si="2"/>
        <v>4</v>
      </c>
    </row>
    <row r="70" spans="1:13" x14ac:dyDescent="0.25">
      <c r="A70" t="s">
        <v>183</v>
      </c>
      <c r="B70" t="s">
        <v>184</v>
      </c>
      <c r="C70">
        <v>67</v>
      </c>
      <c r="D70" t="s">
        <v>19</v>
      </c>
      <c r="E70" s="2">
        <v>45436</v>
      </c>
      <c r="F70" s="2">
        <v>45447</v>
      </c>
      <c r="G70" t="s">
        <v>61</v>
      </c>
      <c r="H70" t="s">
        <v>75</v>
      </c>
      <c r="I70" s="3">
        <v>23530.58</v>
      </c>
      <c r="J70" s="4">
        <v>80</v>
      </c>
      <c r="K70" t="s">
        <v>26</v>
      </c>
      <c r="L70" t="str" cm="1">
        <f t="array" ref="L70">_xlfn.IFS(C70&lt;18,"under 18",C70&lt;36,"btw 18 &amp; 35",C70&lt;51,"btw 36 &amp;50",C70&lt;66,"btw 51 &amp; 66",C70&gt;66,"66 &amp; above")</f>
        <v>66 &amp; above</v>
      </c>
      <c r="M70">
        <f t="shared" si="2"/>
        <v>11</v>
      </c>
    </row>
    <row r="71" spans="1:13" x14ac:dyDescent="0.25">
      <c r="A71" t="s">
        <v>185</v>
      </c>
      <c r="B71" t="s">
        <v>186</v>
      </c>
      <c r="C71">
        <v>83</v>
      </c>
      <c r="D71" t="s">
        <v>13</v>
      </c>
      <c r="E71" s="2">
        <v>45752</v>
      </c>
      <c r="F71" s="2">
        <v>45753</v>
      </c>
      <c r="G71" t="s">
        <v>24</v>
      </c>
      <c r="H71" t="s">
        <v>42</v>
      </c>
      <c r="I71" s="3">
        <v>1108.28</v>
      </c>
      <c r="J71" s="4">
        <v>50</v>
      </c>
      <c r="K71" t="s">
        <v>16</v>
      </c>
      <c r="L71" t="str" cm="1">
        <f t="array" ref="L71">_xlfn.IFS(C71&lt;18,"under 18",C71&lt;36,"btw 18 &amp; 35",C71&lt;51,"btw 36 &amp;50",C71&lt;66,"btw 51 &amp; 66",C71&gt;66,"66 &amp; above")</f>
        <v>66 &amp; above</v>
      </c>
      <c r="M71">
        <f t="shared" si="2"/>
        <v>1</v>
      </c>
    </row>
    <row r="72" spans="1:13" x14ac:dyDescent="0.25">
      <c r="A72" t="s">
        <v>187</v>
      </c>
      <c r="B72" t="s">
        <v>188</v>
      </c>
      <c r="C72">
        <v>69</v>
      </c>
      <c r="D72" t="s">
        <v>13</v>
      </c>
      <c r="E72" s="2">
        <v>46013</v>
      </c>
      <c r="F72" s="2">
        <v>46020</v>
      </c>
      <c r="G72" t="s">
        <v>14</v>
      </c>
      <c r="H72" t="s">
        <v>39</v>
      </c>
      <c r="I72" s="3">
        <v>15858.97</v>
      </c>
      <c r="J72" s="4">
        <v>80</v>
      </c>
      <c r="K72" t="s">
        <v>16</v>
      </c>
      <c r="L72" t="str" cm="1">
        <f t="array" ref="L72">_xlfn.IFS(C72&lt;18,"under 18",C72&lt;36,"btw 18 &amp; 35",C72&lt;51,"btw 36 &amp;50",C72&lt;66,"btw 51 &amp; 66",C72&gt;66,"66 &amp; above")</f>
        <v>66 &amp; above</v>
      </c>
      <c r="M72">
        <f t="shared" si="2"/>
        <v>7</v>
      </c>
    </row>
    <row r="73" spans="1:13" x14ac:dyDescent="0.25">
      <c r="A73" t="s">
        <v>189</v>
      </c>
      <c r="B73" t="s">
        <v>190</v>
      </c>
      <c r="C73">
        <v>66</v>
      </c>
      <c r="D73" t="s">
        <v>13</v>
      </c>
      <c r="E73" s="2">
        <v>45676</v>
      </c>
      <c r="F73" s="2">
        <v>45690</v>
      </c>
      <c r="G73" t="s">
        <v>61</v>
      </c>
      <c r="H73" t="s">
        <v>98</v>
      </c>
      <c r="I73" s="3">
        <v>24022.14</v>
      </c>
      <c r="J73" s="4">
        <v>80</v>
      </c>
      <c r="K73" t="s">
        <v>26</v>
      </c>
      <c r="L73" t="e" cm="1">
        <f t="array" ref="L73">_xlfn.IFS(C73&lt;18,"under 18",C73&lt;36,"btw 18 &amp; 35",C73&lt;51,"btw 36 &amp;50",C73&lt;66,"btw 51 &amp; 66",C73&gt;66,"66 &amp; above")</f>
        <v>#N/A</v>
      </c>
      <c r="M73">
        <f t="shared" si="2"/>
        <v>14</v>
      </c>
    </row>
    <row r="74" spans="1:13" x14ac:dyDescent="0.25">
      <c r="A74" t="s">
        <v>191</v>
      </c>
      <c r="B74" t="s">
        <v>192</v>
      </c>
      <c r="C74">
        <v>29</v>
      </c>
      <c r="D74" t="s">
        <v>19</v>
      </c>
      <c r="E74" s="2">
        <v>45586</v>
      </c>
      <c r="F74" s="2">
        <v>45598</v>
      </c>
      <c r="G74" t="s">
        <v>61</v>
      </c>
      <c r="H74" t="s">
        <v>98</v>
      </c>
      <c r="I74" s="3">
        <v>13601.98</v>
      </c>
      <c r="J74" s="4">
        <v>80</v>
      </c>
      <c r="K74" t="s">
        <v>21</v>
      </c>
      <c r="L74" t="str" cm="1">
        <f t="array" ref="L74">_xlfn.IFS(C74&lt;18,"under 18",C74&lt;36,"btw 18 &amp; 35",C74&lt;51,"btw 36 &amp;50",C74&lt;66,"btw 51 &amp; 66",C74&gt;66,"66 &amp; above")</f>
        <v>btw 18 &amp; 35</v>
      </c>
      <c r="M74">
        <f t="shared" si="2"/>
        <v>12</v>
      </c>
    </row>
    <row r="75" spans="1:13" x14ac:dyDescent="0.25">
      <c r="A75" t="s">
        <v>193</v>
      </c>
      <c r="B75" t="s">
        <v>194</v>
      </c>
      <c r="C75">
        <v>48</v>
      </c>
      <c r="D75" t="s">
        <v>13</v>
      </c>
      <c r="E75" s="2">
        <v>45405</v>
      </c>
      <c r="F75" s="2">
        <v>45414</v>
      </c>
      <c r="G75" t="s">
        <v>71</v>
      </c>
      <c r="H75" t="s">
        <v>195</v>
      </c>
      <c r="I75" s="3">
        <v>11054.91</v>
      </c>
      <c r="J75" s="4">
        <v>80</v>
      </c>
      <c r="K75" t="s">
        <v>16</v>
      </c>
      <c r="L75" t="str" cm="1">
        <f t="array" ref="L75">_xlfn.IFS(C75&lt;18,"under 18",C75&lt;36,"btw 18 &amp; 35",C75&lt;51,"btw 36 &amp;50",C75&lt;66,"btw 51 &amp; 66",C75&gt;66,"66 &amp; above")</f>
        <v>btw 36 &amp;50</v>
      </c>
      <c r="M75">
        <f t="shared" si="2"/>
        <v>9</v>
      </c>
    </row>
    <row r="76" spans="1:13" x14ac:dyDescent="0.25">
      <c r="A76" t="s">
        <v>196</v>
      </c>
      <c r="B76" t="s">
        <v>197</v>
      </c>
      <c r="C76">
        <v>71</v>
      </c>
      <c r="D76" t="s">
        <v>13</v>
      </c>
      <c r="E76" s="2">
        <v>45986</v>
      </c>
      <c r="F76" s="2">
        <v>45989</v>
      </c>
      <c r="G76" t="s">
        <v>24</v>
      </c>
      <c r="H76" t="s">
        <v>25</v>
      </c>
      <c r="I76" s="3">
        <v>4292.29</v>
      </c>
      <c r="J76" s="4">
        <v>70</v>
      </c>
      <c r="K76" t="s">
        <v>16</v>
      </c>
      <c r="L76" t="str" cm="1">
        <f t="array" ref="L76">_xlfn.IFS(C76&lt;18,"under 18",C76&lt;36,"btw 18 &amp; 35",C76&lt;51,"btw 36 &amp;50",C76&lt;66,"btw 51 &amp; 66",C76&gt;66,"66 &amp; above")</f>
        <v>66 &amp; above</v>
      </c>
      <c r="M76">
        <f t="shared" si="2"/>
        <v>3</v>
      </c>
    </row>
    <row r="77" spans="1:13" x14ac:dyDescent="0.25">
      <c r="A77" t="s">
        <v>198</v>
      </c>
      <c r="B77" t="s">
        <v>199</v>
      </c>
      <c r="C77">
        <v>58</v>
      </c>
      <c r="D77" t="s">
        <v>19</v>
      </c>
      <c r="E77" s="2">
        <v>45969</v>
      </c>
      <c r="F77" s="2">
        <v>45978</v>
      </c>
      <c r="G77" t="s">
        <v>14</v>
      </c>
      <c r="H77" t="s">
        <v>166</v>
      </c>
      <c r="I77" s="3">
        <v>15148.04</v>
      </c>
      <c r="J77" s="4">
        <v>100</v>
      </c>
      <c r="K77" t="s">
        <v>16</v>
      </c>
      <c r="L77" t="str" cm="1">
        <f t="array" ref="L77">_xlfn.IFS(C77&lt;18,"under 18",C77&lt;36,"btw 18 &amp; 35",C77&lt;51,"btw 36 &amp;50",C77&lt;66,"btw 51 &amp; 66",C77&gt;66,"66 &amp; above")</f>
        <v>btw 51 &amp; 66</v>
      </c>
      <c r="M77">
        <f t="shared" si="2"/>
        <v>9</v>
      </c>
    </row>
    <row r="78" spans="1:13" x14ac:dyDescent="0.25">
      <c r="A78" t="s">
        <v>200</v>
      </c>
      <c r="B78" t="s">
        <v>201</v>
      </c>
      <c r="C78">
        <v>31</v>
      </c>
      <c r="D78" t="s">
        <v>19</v>
      </c>
      <c r="E78" s="2">
        <v>45748</v>
      </c>
      <c r="F78" s="2">
        <v>45755</v>
      </c>
      <c r="G78" t="s">
        <v>71</v>
      </c>
      <c r="H78" t="s">
        <v>158</v>
      </c>
      <c r="I78" s="3">
        <v>12486.34</v>
      </c>
      <c r="J78" s="4">
        <v>60</v>
      </c>
      <c r="K78" t="s">
        <v>21</v>
      </c>
      <c r="L78" t="str" cm="1">
        <f t="array" ref="L78">_xlfn.IFS(C78&lt;18,"under 18",C78&lt;36,"btw 18 &amp; 35",C78&lt;51,"btw 36 &amp;50",C78&lt;66,"btw 51 &amp; 66",C78&gt;66,"66 &amp; above")</f>
        <v>btw 18 &amp; 35</v>
      </c>
      <c r="M78">
        <f t="shared" si="2"/>
        <v>7</v>
      </c>
    </row>
    <row r="79" spans="1:13" x14ac:dyDescent="0.25">
      <c r="A79" t="s">
        <v>202</v>
      </c>
      <c r="B79" t="s">
        <v>117</v>
      </c>
      <c r="C79">
        <v>6</v>
      </c>
      <c r="D79" t="s">
        <v>19</v>
      </c>
      <c r="E79" s="2">
        <v>45986</v>
      </c>
      <c r="F79" s="2">
        <v>45991</v>
      </c>
      <c r="G79" t="s">
        <v>50</v>
      </c>
      <c r="H79" t="s">
        <v>124</v>
      </c>
      <c r="I79" s="3">
        <v>6755.47</v>
      </c>
      <c r="J79" s="4">
        <v>90</v>
      </c>
      <c r="K79" t="s">
        <v>16</v>
      </c>
      <c r="L79" t="str" cm="1">
        <f t="array" ref="L79">_xlfn.IFS(C79&lt;18,"under 18",C79&lt;36,"btw 18 &amp; 35",C79&lt;51,"btw 36 &amp;50",C79&lt;66,"btw 51 &amp; 66",C79&gt;66,"66 &amp; above")</f>
        <v>under 18</v>
      </c>
      <c r="M79">
        <f t="shared" si="2"/>
        <v>5</v>
      </c>
    </row>
    <row r="80" spans="1:13" x14ac:dyDescent="0.25">
      <c r="A80" t="s">
        <v>203</v>
      </c>
      <c r="B80" t="s">
        <v>204</v>
      </c>
      <c r="C80">
        <v>54</v>
      </c>
      <c r="D80" t="s">
        <v>19</v>
      </c>
      <c r="E80" s="2">
        <v>45903</v>
      </c>
      <c r="F80" s="2">
        <v>45905</v>
      </c>
      <c r="G80" t="s">
        <v>24</v>
      </c>
      <c r="H80" t="s">
        <v>205</v>
      </c>
      <c r="I80" s="3">
        <v>2919.13</v>
      </c>
      <c r="J80" s="4">
        <v>100</v>
      </c>
      <c r="K80" t="s">
        <v>16</v>
      </c>
      <c r="L80" t="str" cm="1">
        <f t="array" ref="L80">_xlfn.IFS(C80&lt;18,"under 18",C80&lt;36,"btw 18 &amp; 35",C80&lt;51,"btw 36 &amp;50",C80&lt;66,"btw 51 &amp; 66",C80&gt;66,"66 &amp; above")</f>
        <v>btw 51 &amp; 66</v>
      </c>
      <c r="M80">
        <f t="shared" si="2"/>
        <v>2</v>
      </c>
    </row>
    <row r="81" spans="1:13" x14ac:dyDescent="0.25">
      <c r="A81" t="s">
        <v>206</v>
      </c>
      <c r="B81" t="s">
        <v>207</v>
      </c>
      <c r="C81">
        <v>40</v>
      </c>
      <c r="D81" t="s">
        <v>19</v>
      </c>
      <c r="E81" s="2">
        <v>45843</v>
      </c>
      <c r="F81" s="2">
        <v>45857</v>
      </c>
      <c r="G81" t="s">
        <v>61</v>
      </c>
      <c r="H81" t="s">
        <v>75</v>
      </c>
      <c r="I81" s="3">
        <v>30241.53</v>
      </c>
      <c r="J81" s="4">
        <v>100</v>
      </c>
      <c r="K81" t="s">
        <v>16</v>
      </c>
      <c r="L81" t="str" cm="1">
        <f t="array" ref="L81">_xlfn.IFS(C81&lt;18,"under 18",C81&lt;36,"btw 18 &amp; 35",C81&lt;51,"btw 36 &amp;50",C81&lt;66,"btw 51 &amp; 66",C81&gt;66,"66 &amp; above")</f>
        <v>btw 36 &amp;50</v>
      </c>
      <c r="M81">
        <f t="shared" si="2"/>
        <v>14</v>
      </c>
    </row>
    <row r="82" spans="1:13" x14ac:dyDescent="0.25">
      <c r="A82" t="s">
        <v>208</v>
      </c>
      <c r="B82" t="s">
        <v>209</v>
      </c>
      <c r="C82">
        <v>70</v>
      </c>
      <c r="D82" t="s">
        <v>19</v>
      </c>
      <c r="E82" s="2">
        <v>45483</v>
      </c>
      <c r="F82" s="2">
        <v>45490</v>
      </c>
      <c r="G82" t="s">
        <v>14</v>
      </c>
      <c r="H82" t="s">
        <v>112</v>
      </c>
      <c r="I82" s="3">
        <v>12489.15</v>
      </c>
      <c r="J82" s="4">
        <v>0</v>
      </c>
      <c r="K82" t="s">
        <v>21</v>
      </c>
      <c r="L82" t="str" cm="1">
        <f t="array" ref="L82">_xlfn.IFS(C82&lt;18,"under 18",C82&lt;36,"btw 18 &amp; 35",C82&lt;51,"btw 36 &amp;50",C82&lt;66,"btw 51 &amp; 66",C82&gt;66,"66 &amp; above")</f>
        <v>66 &amp; above</v>
      </c>
      <c r="M82">
        <f t="shared" si="2"/>
        <v>7</v>
      </c>
    </row>
    <row r="83" spans="1:13" x14ac:dyDescent="0.25">
      <c r="A83" t="s">
        <v>210</v>
      </c>
      <c r="B83" t="s">
        <v>211</v>
      </c>
      <c r="C83">
        <v>34</v>
      </c>
      <c r="D83" t="s">
        <v>19</v>
      </c>
      <c r="E83" s="2">
        <v>45323</v>
      </c>
      <c r="F83" s="2">
        <v>45329</v>
      </c>
      <c r="G83" t="s">
        <v>61</v>
      </c>
      <c r="H83" t="s">
        <v>134</v>
      </c>
      <c r="I83" s="3">
        <v>12813.71</v>
      </c>
      <c r="J83" s="4">
        <v>70</v>
      </c>
      <c r="K83" t="s">
        <v>16</v>
      </c>
      <c r="L83" t="str" cm="1">
        <f t="array" ref="L83">_xlfn.IFS(C83&lt;18,"under 18",C83&lt;36,"btw 18 &amp; 35",C83&lt;51,"btw 36 &amp;50",C83&lt;66,"btw 51 &amp; 66",C83&gt;66,"66 &amp; above")</f>
        <v>btw 18 &amp; 35</v>
      </c>
      <c r="M83">
        <f t="shared" si="2"/>
        <v>6</v>
      </c>
    </row>
    <row r="84" spans="1:13" x14ac:dyDescent="0.25">
      <c r="A84" t="s">
        <v>212</v>
      </c>
      <c r="B84" t="s">
        <v>213</v>
      </c>
      <c r="C84">
        <v>62</v>
      </c>
      <c r="D84" t="s">
        <v>19</v>
      </c>
      <c r="E84" s="2">
        <v>45408</v>
      </c>
      <c r="F84" s="2">
        <v>45413</v>
      </c>
      <c r="G84" t="s">
        <v>61</v>
      </c>
      <c r="H84" t="s">
        <v>134</v>
      </c>
      <c r="I84" s="3">
        <v>13205.04</v>
      </c>
      <c r="J84" s="4">
        <v>70</v>
      </c>
      <c r="K84" t="s">
        <v>16</v>
      </c>
      <c r="L84" t="str" cm="1">
        <f t="array" ref="L84">_xlfn.IFS(C84&lt;18,"under 18",C84&lt;36,"btw 18 &amp; 35",C84&lt;51,"btw 36 &amp;50",C84&lt;66,"btw 51 &amp; 66",C84&gt;66,"66 &amp; above")</f>
        <v>btw 51 &amp; 66</v>
      </c>
      <c r="M84">
        <f t="shared" si="2"/>
        <v>5</v>
      </c>
    </row>
    <row r="85" spans="1:13" x14ac:dyDescent="0.25">
      <c r="A85" t="s">
        <v>214</v>
      </c>
      <c r="B85" t="s">
        <v>215</v>
      </c>
      <c r="C85">
        <v>83</v>
      </c>
      <c r="D85" t="s">
        <v>13</v>
      </c>
      <c r="E85" s="2">
        <v>46013</v>
      </c>
      <c r="F85" s="2">
        <v>46020</v>
      </c>
      <c r="G85" t="s">
        <v>32</v>
      </c>
      <c r="H85" t="s">
        <v>33</v>
      </c>
      <c r="I85" s="3">
        <v>3620.28</v>
      </c>
      <c r="J85" s="4">
        <v>80</v>
      </c>
      <c r="K85" t="s">
        <v>16</v>
      </c>
      <c r="L85" t="str" cm="1">
        <f t="array" ref="L85">_xlfn.IFS(C85&lt;18,"under 18",C85&lt;36,"btw 18 &amp; 35",C85&lt;51,"btw 36 &amp;50",C85&lt;66,"btw 51 &amp; 66",C85&gt;66,"66 &amp; above")</f>
        <v>66 &amp; above</v>
      </c>
      <c r="M85">
        <f t="shared" si="2"/>
        <v>7</v>
      </c>
    </row>
    <row r="86" spans="1:13" x14ac:dyDescent="0.25">
      <c r="A86" t="s">
        <v>216</v>
      </c>
      <c r="B86" t="s">
        <v>217</v>
      </c>
      <c r="C86">
        <v>76</v>
      </c>
      <c r="D86" t="s">
        <v>19</v>
      </c>
      <c r="E86" s="2">
        <v>45524</v>
      </c>
      <c r="F86" s="2">
        <v>45531</v>
      </c>
      <c r="G86" t="s">
        <v>32</v>
      </c>
      <c r="H86" t="s">
        <v>45</v>
      </c>
      <c r="I86" s="3">
        <v>7803.54</v>
      </c>
      <c r="J86" s="4">
        <v>70</v>
      </c>
      <c r="K86" t="s">
        <v>21</v>
      </c>
      <c r="L86" t="str" cm="1">
        <f t="array" ref="L86">_xlfn.IFS(C86&lt;18,"under 18",C86&lt;36,"btw 18 &amp; 35",C86&lt;51,"btw 36 &amp;50",C86&lt;66,"btw 51 &amp; 66",C86&gt;66,"66 &amp; above")</f>
        <v>66 &amp; above</v>
      </c>
      <c r="M86">
        <f t="shared" si="2"/>
        <v>7</v>
      </c>
    </row>
    <row r="87" spans="1:13" x14ac:dyDescent="0.25">
      <c r="A87" t="s">
        <v>218</v>
      </c>
      <c r="B87" t="s">
        <v>219</v>
      </c>
      <c r="C87">
        <v>50</v>
      </c>
      <c r="D87" t="s">
        <v>19</v>
      </c>
      <c r="E87" s="2">
        <v>45659</v>
      </c>
      <c r="F87" s="2">
        <v>45667</v>
      </c>
      <c r="G87" t="s">
        <v>71</v>
      </c>
      <c r="H87" t="s">
        <v>72</v>
      </c>
      <c r="I87" s="3">
        <v>12412.35</v>
      </c>
      <c r="J87" s="4">
        <v>90</v>
      </c>
      <c r="K87" t="s">
        <v>26</v>
      </c>
      <c r="L87" t="str" cm="1">
        <f t="array" ref="L87">_xlfn.IFS(C87&lt;18,"under 18",C87&lt;36,"btw 18 &amp; 35",C87&lt;51,"btw 36 &amp;50",C87&lt;66,"btw 51 &amp; 66",C87&gt;66,"66 &amp; above")</f>
        <v>btw 36 &amp;50</v>
      </c>
      <c r="M87">
        <f t="shared" si="2"/>
        <v>8</v>
      </c>
    </row>
    <row r="88" spans="1:13" x14ac:dyDescent="0.25">
      <c r="A88" t="s">
        <v>220</v>
      </c>
      <c r="B88" t="s">
        <v>221</v>
      </c>
      <c r="C88">
        <v>39</v>
      </c>
      <c r="D88" t="s">
        <v>19</v>
      </c>
      <c r="E88" s="2">
        <v>45989</v>
      </c>
      <c r="F88" s="2">
        <v>45991</v>
      </c>
      <c r="G88" t="s">
        <v>24</v>
      </c>
      <c r="H88" t="s">
        <v>222</v>
      </c>
      <c r="I88" s="3">
        <v>2598.06</v>
      </c>
      <c r="J88" s="4">
        <v>80</v>
      </c>
      <c r="K88" t="s">
        <v>16</v>
      </c>
      <c r="L88" t="str" cm="1">
        <f t="array" ref="L88">_xlfn.IFS(C88&lt;18,"under 18",C88&lt;36,"btw 18 &amp; 35",C88&lt;51,"btw 36 &amp;50",C88&lt;66,"btw 51 &amp; 66",C88&gt;66,"66 &amp; above")</f>
        <v>btw 36 &amp;50</v>
      </c>
      <c r="M88">
        <f t="shared" si="2"/>
        <v>2</v>
      </c>
    </row>
    <row r="89" spans="1:13" x14ac:dyDescent="0.25">
      <c r="A89" t="s">
        <v>223</v>
      </c>
      <c r="B89" t="s">
        <v>224</v>
      </c>
      <c r="C89">
        <v>68</v>
      </c>
      <c r="D89" t="s">
        <v>13</v>
      </c>
      <c r="E89" s="2">
        <v>45720</v>
      </c>
      <c r="F89" s="2">
        <v>45727</v>
      </c>
      <c r="G89" t="s">
        <v>32</v>
      </c>
      <c r="H89" t="s">
        <v>115</v>
      </c>
      <c r="I89" s="3">
        <v>9165.89</v>
      </c>
      <c r="J89" s="4">
        <v>70</v>
      </c>
      <c r="K89" t="s">
        <v>16</v>
      </c>
      <c r="L89" t="str" cm="1">
        <f t="array" ref="L89">_xlfn.IFS(C89&lt;18,"under 18",C89&lt;36,"btw 18 &amp; 35",C89&lt;51,"btw 36 &amp;50",C89&lt;66,"btw 51 &amp; 66",C89&gt;66,"66 &amp; above")</f>
        <v>66 &amp; above</v>
      </c>
      <c r="M89">
        <f t="shared" si="2"/>
        <v>7</v>
      </c>
    </row>
    <row r="90" spans="1:13" x14ac:dyDescent="0.25">
      <c r="A90" t="s">
        <v>225</v>
      </c>
      <c r="B90" t="s">
        <v>226</v>
      </c>
      <c r="C90">
        <v>55</v>
      </c>
      <c r="D90" t="s">
        <v>19</v>
      </c>
      <c r="E90" s="2">
        <v>45874</v>
      </c>
      <c r="F90" s="2">
        <v>45876</v>
      </c>
      <c r="G90" t="s">
        <v>24</v>
      </c>
      <c r="H90" t="s">
        <v>25</v>
      </c>
      <c r="I90" s="3">
        <v>2783.91</v>
      </c>
      <c r="J90" s="4">
        <v>70</v>
      </c>
      <c r="K90" t="s">
        <v>16</v>
      </c>
      <c r="L90" t="str" cm="1">
        <f t="array" ref="L90">_xlfn.IFS(C90&lt;18,"under 18",C90&lt;36,"btw 18 &amp; 35",C90&lt;51,"btw 36 &amp;50",C90&lt;66,"btw 51 &amp; 66",C90&gt;66,"66 &amp; above")</f>
        <v>btw 51 &amp; 66</v>
      </c>
      <c r="M90">
        <f t="shared" si="2"/>
        <v>2</v>
      </c>
    </row>
    <row r="91" spans="1:13" x14ac:dyDescent="0.25">
      <c r="A91" t="s">
        <v>227</v>
      </c>
      <c r="B91" t="s">
        <v>228</v>
      </c>
      <c r="C91">
        <v>71</v>
      </c>
      <c r="D91" t="s">
        <v>19</v>
      </c>
      <c r="E91" s="2">
        <v>45679</v>
      </c>
      <c r="F91" s="2">
        <v>45688</v>
      </c>
      <c r="G91" t="s">
        <v>14</v>
      </c>
      <c r="H91" t="s">
        <v>20</v>
      </c>
      <c r="I91" s="3">
        <v>23939.75</v>
      </c>
      <c r="J91" s="4">
        <v>60</v>
      </c>
      <c r="K91" t="s">
        <v>16</v>
      </c>
      <c r="L91" t="str" cm="1">
        <f t="array" ref="L91">_xlfn.IFS(C91&lt;18,"under 18",C91&lt;36,"btw 18 &amp; 35",C91&lt;51,"btw 36 &amp;50",C91&lt;66,"btw 51 &amp; 66",C91&gt;66,"66 &amp; above")</f>
        <v>66 &amp; above</v>
      </c>
      <c r="M91">
        <f t="shared" si="2"/>
        <v>9</v>
      </c>
    </row>
    <row r="92" spans="1:13" x14ac:dyDescent="0.25">
      <c r="A92" t="s">
        <v>229</v>
      </c>
      <c r="B92" t="s">
        <v>230</v>
      </c>
      <c r="C92">
        <v>55</v>
      </c>
      <c r="D92" t="s">
        <v>19</v>
      </c>
      <c r="E92" s="2">
        <v>45778</v>
      </c>
      <c r="F92" s="2">
        <v>45786</v>
      </c>
      <c r="G92" t="s">
        <v>71</v>
      </c>
      <c r="H92" t="s">
        <v>158</v>
      </c>
      <c r="I92" s="3">
        <v>19244.54</v>
      </c>
      <c r="J92" s="4">
        <v>80</v>
      </c>
      <c r="K92" t="s">
        <v>16</v>
      </c>
      <c r="L92" t="str" cm="1">
        <f t="array" ref="L92">_xlfn.IFS(C92&lt;18,"under 18",C92&lt;36,"btw 18 &amp; 35",C92&lt;51,"btw 36 &amp;50",C92&lt;66,"btw 51 &amp; 66",C92&gt;66,"66 &amp; above")</f>
        <v>btw 51 &amp; 66</v>
      </c>
      <c r="M92">
        <f t="shared" si="2"/>
        <v>8</v>
      </c>
    </row>
    <row r="93" spans="1:13" x14ac:dyDescent="0.25">
      <c r="A93" t="s">
        <v>231</v>
      </c>
      <c r="B93" t="s">
        <v>232</v>
      </c>
      <c r="C93">
        <v>60</v>
      </c>
      <c r="D93" t="s">
        <v>19</v>
      </c>
      <c r="E93" s="2">
        <v>45490</v>
      </c>
      <c r="F93" s="2">
        <v>45499</v>
      </c>
      <c r="G93" t="s">
        <v>14</v>
      </c>
      <c r="H93" t="s">
        <v>15</v>
      </c>
      <c r="I93" s="3">
        <v>17194.91</v>
      </c>
      <c r="J93" s="4">
        <v>90</v>
      </c>
      <c r="K93" t="s">
        <v>16</v>
      </c>
      <c r="L93" t="str" cm="1">
        <f t="array" ref="L93">_xlfn.IFS(C93&lt;18,"under 18",C93&lt;36,"btw 18 &amp; 35",C93&lt;51,"btw 36 &amp;50",C93&lt;66,"btw 51 &amp; 66",C93&gt;66,"66 &amp; above")</f>
        <v>btw 51 &amp; 66</v>
      </c>
      <c r="M93">
        <f t="shared" si="2"/>
        <v>9</v>
      </c>
    </row>
    <row r="94" spans="1:13" x14ac:dyDescent="0.25">
      <c r="A94" t="s">
        <v>233</v>
      </c>
      <c r="B94" t="s">
        <v>234</v>
      </c>
      <c r="C94">
        <v>62</v>
      </c>
      <c r="D94" t="s">
        <v>13</v>
      </c>
      <c r="E94" s="2">
        <v>45530</v>
      </c>
      <c r="F94" s="2">
        <v>45533</v>
      </c>
      <c r="G94" t="s">
        <v>32</v>
      </c>
      <c r="H94" t="s">
        <v>235</v>
      </c>
      <c r="I94" s="3">
        <v>3707.77</v>
      </c>
      <c r="J94" s="4">
        <v>80</v>
      </c>
      <c r="K94" t="s">
        <v>16</v>
      </c>
      <c r="L94" t="str" cm="1">
        <f t="array" ref="L94">_xlfn.IFS(C94&lt;18,"under 18",C94&lt;36,"btw 18 &amp; 35",C94&lt;51,"btw 36 &amp;50",C94&lt;66,"btw 51 &amp; 66",C94&gt;66,"66 &amp; above")</f>
        <v>btw 51 &amp; 66</v>
      </c>
      <c r="M94">
        <f t="shared" si="2"/>
        <v>3</v>
      </c>
    </row>
    <row r="95" spans="1:13" x14ac:dyDescent="0.25">
      <c r="A95" t="s">
        <v>236</v>
      </c>
      <c r="B95" t="s">
        <v>237</v>
      </c>
      <c r="C95">
        <v>62</v>
      </c>
      <c r="D95" t="s">
        <v>19</v>
      </c>
      <c r="E95" s="2">
        <v>45895</v>
      </c>
      <c r="F95" s="2">
        <v>45901</v>
      </c>
      <c r="G95" t="s">
        <v>71</v>
      </c>
      <c r="H95" t="s">
        <v>238</v>
      </c>
      <c r="I95" s="3">
        <v>11445.42</v>
      </c>
      <c r="J95" s="4">
        <v>80</v>
      </c>
      <c r="K95" t="s">
        <v>21</v>
      </c>
      <c r="L95" t="str" cm="1">
        <f t="array" ref="L95">_xlfn.IFS(C95&lt;18,"under 18",C95&lt;36,"btw 18 &amp; 35",C95&lt;51,"btw 36 &amp;50",C95&lt;66,"btw 51 &amp; 66",C95&gt;66,"66 &amp; above")</f>
        <v>btw 51 &amp; 66</v>
      </c>
      <c r="M95">
        <f t="shared" si="2"/>
        <v>6</v>
      </c>
    </row>
    <row r="96" spans="1:13" x14ac:dyDescent="0.25">
      <c r="A96" t="s">
        <v>239</v>
      </c>
      <c r="B96" t="s">
        <v>240</v>
      </c>
      <c r="C96">
        <v>52</v>
      </c>
      <c r="D96" t="s">
        <v>13</v>
      </c>
      <c r="E96" s="2">
        <v>45775</v>
      </c>
      <c r="F96" s="2">
        <v>45777</v>
      </c>
      <c r="G96" t="s">
        <v>32</v>
      </c>
      <c r="H96" t="s">
        <v>33</v>
      </c>
      <c r="I96" s="3">
        <v>1587.61</v>
      </c>
      <c r="J96" s="4">
        <v>90</v>
      </c>
      <c r="K96" t="s">
        <v>21</v>
      </c>
      <c r="L96" t="str" cm="1">
        <f t="array" ref="L96">_xlfn.IFS(C96&lt;18,"under 18",C96&lt;36,"btw 18 &amp; 35",C96&lt;51,"btw 36 &amp;50",C96&lt;66,"btw 51 &amp; 66",C96&gt;66,"66 &amp; above")</f>
        <v>btw 51 &amp; 66</v>
      </c>
      <c r="M96">
        <f t="shared" si="2"/>
        <v>2</v>
      </c>
    </row>
    <row r="97" spans="1:13" x14ac:dyDescent="0.25">
      <c r="A97" t="s">
        <v>241</v>
      </c>
      <c r="B97" t="s">
        <v>242</v>
      </c>
      <c r="C97">
        <v>32</v>
      </c>
      <c r="D97" t="s">
        <v>13</v>
      </c>
      <c r="E97" s="2">
        <v>45589</v>
      </c>
      <c r="F97" s="2">
        <v>45591</v>
      </c>
      <c r="G97" t="s">
        <v>24</v>
      </c>
      <c r="H97" t="s">
        <v>83</v>
      </c>
      <c r="I97" s="3">
        <v>4946.29</v>
      </c>
      <c r="J97" s="4">
        <v>80</v>
      </c>
      <c r="K97" t="s">
        <v>16</v>
      </c>
      <c r="L97" t="str" cm="1">
        <f t="array" ref="L97">_xlfn.IFS(C97&lt;18,"under 18",C97&lt;36,"btw 18 &amp; 35",C97&lt;51,"btw 36 &amp;50",C97&lt;66,"btw 51 &amp; 66",C97&gt;66,"66 &amp; above")</f>
        <v>btw 18 &amp; 35</v>
      </c>
      <c r="M97">
        <f t="shared" si="2"/>
        <v>2</v>
      </c>
    </row>
    <row r="98" spans="1:13" x14ac:dyDescent="0.25">
      <c r="A98" t="s">
        <v>243</v>
      </c>
      <c r="B98" t="s">
        <v>244</v>
      </c>
      <c r="C98">
        <v>15</v>
      </c>
      <c r="D98" t="s">
        <v>13</v>
      </c>
      <c r="E98" s="2">
        <v>45594</v>
      </c>
      <c r="F98" s="2">
        <v>45597</v>
      </c>
      <c r="G98" t="s">
        <v>50</v>
      </c>
      <c r="H98" t="s">
        <v>124</v>
      </c>
      <c r="I98" s="3">
        <v>3757.58</v>
      </c>
      <c r="J98" s="4">
        <v>80</v>
      </c>
      <c r="K98" t="s">
        <v>16</v>
      </c>
      <c r="L98" t="str" cm="1">
        <f t="array" ref="L98">_xlfn.IFS(C98&lt;18,"under 18",C98&lt;36,"btw 18 &amp; 35",C98&lt;51,"btw 36 &amp;50",C98&lt;66,"btw 51 &amp; 66",C98&gt;66,"66 &amp; above")</f>
        <v>under 18</v>
      </c>
      <c r="M98">
        <f t="shared" si="2"/>
        <v>3</v>
      </c>
    </row>
    <row r="99" spans="1:13" x14ac:dyDescent="0.25">
      <c r="A99" t="s">
        <v>245</v>
      </c>
      <c r="B99" t="s">
        <v>246</v>
      </c>
      <c r="C99">
        <v>61</v>
      </c>
      <c r="D99" t="s">
        <v>13</v>
      </c>
      <c r="E99" s="2">
        <v>45765</v>
      </c>
      <c r="F99" s="2">
        <v>45770</v>
      </c>
      <c r="G99" t="s">
        <v>14</v>
      </c>
      <c r="H99" t="s">
        <v>112</v>
      </c>
      <c r="I99" s="3">
        <v>10173.43</v>
      </c>
      <c r="J99" s="4">
        <v>70</v>
      </c>
      <c r="K99" t="s">
        <v>26</v>
      </c>
      <c r="L99" t="str" cm="1">
        <f t="array" ref="L99">_xlfn.IFS(C99&lt;18,"under 18",C99&lt;36,"btw 18 &amp; 35",C99&lt;51,"btw 36 &amp;50",C99&lt;66,"btw 51 &amp; 66",C99&gt;66,"66 &amp; above")</f>
        <v>btw 51 &amp; 66</v>
      </c>
      <c r="M99">
        <f t="shared" si="2"/>
        <v>5</v>
      </c>
    </row>
    <row r="100" spans="1:13" x14ac:dyDescent="0.25">
      <c r="A100" t="s">
        <v>247</v>
      </c>
      <c r="B100" t="s">
        <v>248</v>
      </c>
      <c r="C100">
        <v>1</v>
      </c>
      <c r="D100" t="s">
        <v>19</v>
      </c>
      <c r="E100" s="2">
        <v>45646</v>
      </c>
      <c r="F100" s="2">
        <v>45651</v>
      </c>
      <c r="G100" t="s">
        <v>50</v>
      </c>
      <c r="H100" t="s">
        <v>124</v>
      </c>
      <c r="I100" s="3">
        <v>4626.03</v>
      </c>
      <c r="J100" s="4">
        <v>50</v>
      </c>
      <c r="K100" t="s">
        <v>21</v>
      </c>
      <c r="L100" t="str" cm="1">
        <f t="array" ref="L100">_xlfn.IFS(C100&lt;18,"under 18",C100&lt;36,"btw 18 &amp; 35",C100&lt;51,"btw 36 &amp;50",C100&lt;66,"btw 51 &amp; 66",C100&gt;66,"66 &amp; above")</f>
        <v>under 18</v>
      </c>
      <c r="M100">
        <f t="shared" si="2"/>
        <v>5</v>
      </c>
    </row>
    <row r="101" spans="1:13" x14ac:dyDescent="0.25">
      <c r="A101" t="s">
        <v>249</v>
      </c>
      <c r="B101" t="s">
        <v>162</v>
      </c>
      <c r="C101">
        <v>28</v>
      </c>
      <c r="D101" t="s">
        <v>19</v>
      </c>
      <c r="E101" s="2">
        <v>45612</v>
      </c>
      <c r="F101" s="2">
        <v>45615</v>
      </c>
      <c r="G101" t="s">
        <v>32</v>
      </c>
      <c r="H101" t="s">
        <v>88</v>
      </c>
      <c r="I101" s="3">
        <v>3159.6</v>
      </c>
      <c r="J101" s="4">
        <v>80</v>
      </c>
      <c r="K101" t="s">
        <v>16</v>
      </c>
      <c r="L101" t="str" cm="1">
        <f t="array" ref="L101">_xlfn.IFS(C101&lt;18,"under 18",C101&lt;36,"btw 18 &amp; 35",C101&lt;51,"btw 36 &amp;50",C101&lt;66,"btw 51 &amp; 66",C101&gt;66,"66 &amp; above")</f>
        <v>btw 18 &amp; 35</v>
      </c>
      <c r="M101">
        <f t="shared" si="2"/>
        <v>3</v>
      </c>
    </row>
    <row r="102" spans="1:13" x14ac:dyDescent="0.25">
      <c r="A102" t="s">
        <v>250</v>
      </c>
      <c r="B102" t="s">
        <v>251</v>
      </c>
      <c r="C102">
        <v>78</v>
      </c>
      <c r="D102" t="s">
        <v>13</v>
      </c>
      <c r="E102" s="2">
        <v>45326</v>
      </c>
      <c r="F102" s="2">
        <v>45329</v>
      </c>
      <c r="G102" t="s">
        <v>24</v>
      </c>
      <c r="H102" t="s">
        <v>42</v>
      </c>
      <c r="I102" s="3">
        <v>6630.7</v>
      </c>
      <c r="J102" s="4">
        <v>90</v>
      </c>
      <c r="K102" t="s">
        <v>16</v>
      </c>
      <c r="L102" t="str" cm="1">
        <f t="array" ref="L102">_xlfn.IFS(C102&lt;18,"under 18",C102&lt;36,"btw 18 &amp; 35",C102&lt;51,"btw 36 &amp;50",C102&lt;66,"btw 51 &amp; 66",C102&gt;66,"66 &amp; above")</f>
        <v>66 &amp; above</v>
      </c>
      <c r="M102">
        <f t="shared" si="2"/>
        <v>3</v>
      </c>
    </row>
    <row r="103" spans="1:13" x14ac:dyDescent="0.25">
      <c r="A103" t="s">
        <v>252</v>
      </c>
      <c r="B103" t="s">
        <v>253</v>
      </c>
      <c r="C103">
        <v>51</v>
      </c>
      <c r="D103" t="s">
        <v>13</v>
      </c>
      <c r="E103" s="2">
        <v>45392</v>
      </c>
      <c r="F103" s="2">
        <v>45401</v>
      </c>
      <c r="G103" t="s">
        <v>71</v>
      </c>
      <c r="H103" t="s">
        <v>72</v>
      </c>
      <c r="I103" s="3">
        <v>17220.650000000001</v>
      </c>
      <c r="J103" s="4">
        <v>70</v>
      </c>
      <c r="K103" t="s">
        <v>26</v>
      </c>
      <c r="L103" t="str" cm="1">
        <f t="array" ref="L103">_xlfn.IFS(C103&lt;18,"under 18",C103&lt;36,"btw 18 &amp; 35",C103&lt;51,"btw 36 &amp;50",C103&lt;66,"btw 51 &amp; 66",C103&gt;66,"66 &amp; above")</f>
        <v>btw 51 &amp; 66</v>
      </c>
      <c r="M103">
        <f t="shared" si="2"/>
        <v>9</v>
      </c>
    </row>
    <row r="104" spans="1:13" x14ac:dyDescent="0.25">
      <c r="A104" t="s">
        <v>254</v>
      </c>
      <c r="B104" t="s">
        <v>255</v>
      </c>
      <c r="C104">
        <v>70</v>
      </c>
      <c r="D104" t="s">
        <v>13</v>
      </c>
      <c r="E104" s="2">
        <v>45347</v>
      </c>
      <c r="F104" s="2">
        <v>45352</v>
      </c>
      <c r="G104" t="s">
        <v>61</v>
      </c>
      <c r="H104" t="s">
        <v>98</v>
      </c>
      <c r="I104" s="3">
        <v>13557.6</v>
      </c>
      <c r="J104" s="4">
        <v>90</v>
      </c>
      <c r="K104" t="s">
        <v>16</v>
      </c>
      <c r="L104" t="str" cm="1">
        <f t="array" ref="L104">_xlfn.IFS(C104&lt;18,"under 18",C104&lt;36,"btw 18 &amp; 35",C104&lt;51,"btw 36 &amp;50",C104&lt;66,"btw 51 &amp; 66",C104&gt;66,"66 &amp; above")</f>
        <v>66 &amp; above</v>
      </c>
      <c r="M104">
        <f t="shared" si="2"/>
        <v>5</v>
      </c>
    </row>
    <row r="105" spans="1:13" x14ac:dyDescent="0.25">
      <c r="A105" t="s">
        <v>256</v>
      </c>
      <c r="B105" t="s">
        <v>257</v>
      </c>
      <c r="C105">
        <v>51</v>
      </c>
      <c r="D105" t="s">
        <v>13</v>
      </c>
      <c r="E105" s="2">
        <v>45758</v>
      </c>
      <c r="F105" s="2">
        <v>45760</v>
      </c>
      <c r="G105" t="s">
        <v>32</v>
      </c>
      <c r="H105" t="s">
        <v>235</v>
      </c>
      <c r="I105" s="3">
        <v>1460.86</v>
      </c>
      <c r="J105" s="4">
        <v>70</v>
      </c>
      <c r="K105" t="s">
        <v>26</v>
      </c>
      <c r="L105" t="str" cm="1">
        <f t="array" ref="L105">_xlfn.IFS(C105&lt;18,"under 18",C105&lt;36,"btw 18 &amp; 35",C105&lt;51,"btw 36 &amp;50",C105&lt;66,"btw 51 &amp; 66",C105&gt;66,"66 &amp; above")</f>
        <v>btw 51 &amp; 66</v>
      </c>
      <c r="M105">
        <f t="shared" si="2"/>
        <v>2</v>
      </c>
    </row>
    <row r="106" spans="1:13" x14ac:dyDescent="0.25">
      <c r="A106" t="s">
        <v>258</v>
      </c>
      <c r="B106" t="s">
        <v>259</v>
      </c>
      <c r="C106">
        <v>57</v>
      </c>
      <c r="D106" t="s">
        <v>13</v>
      </c>
      <c r="E106" s="2">
        <v>45669</v>
      </c>
      <c r="F106" s="2">
        <v>45672</v>
      </c>
      <c r="G106" t="s">
        <v>71</v>
      </c>
      <c r="H106" t="s">
        <v>238</v>
      </c>
      <c r="I106" s="3">
        <v>5152.58</v>
      </c>
      <c r="J106" s="4">
        <v>0</v>
      </c>
      <c r="K106" t="s">
        <v>16</v>
      </c>
      <c r="L106" t="str" cm="1">
        <f t="array" ref="L106">_xlfn.IFS(C106&lt;18,"under 18",C106&lt;36,"btw 18 &amp; 35",C106&lt;51,"btw 36 &amp;50",C106&lt;66,"btw 51 &amp; 66",C106&gt;66,"66 &amp; above")</f>
        <v>btw 51 &amp; 66</v>
      </c>
      <c r="M106">
        <f t="shared" si="2"/>
        <v>3</v>
      </c>
    </row>
    <row r="107" spans="1:13" x14ac:dyDescent="0.25">
      <c r="A107" t="s">
        <v>260</v>
      </c>
      <c r="B107" t="s">
        <v>261</v>
      </c>
      <c r="C107">
        <v>37</v>
      </c>
      <c r="D107" t="s">
        <v>19</v>
      </c>
      <c r="E107" s="2">
        <v>45865</v>
      </c>
      <c r="F107" s="2">
        <v>45866</v>
      </c>
      <c r="G107" t="s">
        <v>24</v>
      </c>
      <c r="H107" t="s">
        <v>29</v>
      </c>
      <c r="I107" s="3">
        <v>954.61</v>
      </c>
      <c r="J107" s="4">
        <v>90</v>
      </c>
      <c r="K107" t="s">
        <v>16</v>
      </c>
      <c r="L107" t="str" cm="1">
        <f t="array" ref="L107">_xlfn.IFS(C107&lt;18,"under 18",C107&lt;36,"btw 18 &amp; 35",C107&lt;51,"btw 36 &amp;50",C107&lt;66,"btw 51 &amp; 66",C107&gt;66,"66 &amp; above")</f>
        <v>btw 36 &amp;50</v>
      </c>
      <c r="M107">
        <f t="shared" si="2"/>
        <v>1</v>
      </c>
    </row>
    <row r="108" spans="1:13" x14ac:dyDescent="0.25">
      <c r="A108" t="s">
        <v>262</v>
      </c>
      <c r="B108" t="s">
        <v>263</v>
      </c>
      <c r="C108">
        <v>59</v>
      </c>
      <c r="D108" t="s">
        <v>13</v>
      </c>
      <c r="E108" s="2">
        <v>45703</v>
      </c>
      <c r="F108" s="2">
        <v>45709</v>
      </c>
      <c r="G108" t="s">
        <v>14</v>
      </c>
      <c r="H108" t="s">
        <v>112</v>
      </c>
      <c r="I108" s="3">
        <v>11951.45</v>
      </c>
      <c r="J108" s="4">
        <v>100</v>
      </c>
      <c r="K108" t="s">
        <v>16</v>
      </c>
      <c r="L108" t="str" cm="1">
        <f t="array" ref="L108">_xlfn.IFS(C108&lt;18,"under 18",C108&lt;36,"btw 18 &amp; 35",C108&lt;51,"btw 36 &amp;50",C108&lt;66,"btw 51 &amp; 66",C108&gt;66,"66 &amp; above")</f>
        <v>btw 51 &amp; 66</v>
      </c>
      <c r="M108">
        <f t="shared" si="2"/>
        <v>6</v>
      </c>
    </row>
    <row r="109" spans="1:13" x14ac:dyDescent="0.25">
      <c r="A109" t="s">
        <v>264</v>
      </c>
      <c r="B109" t="s">
        <v>180</v>
      </c>
      <c r="C109">
        <v>2</v>
      </c>
      <c r="D109" t="s">
        <v>13</v>
      </c>
      <c r="E109" s="2">
        <v>45391</v>
      </c>
      <c r="F109" s="2">
        <v>45393</v>
      </c>
      <c r="G109" t="s">
        <v>50</v>
      </c>
      <c r="H109" t="s">
        <v>124</v>
      </c>
      <c r="I109" s="3">
        <v>3169.16</v>
      </c>
      <c r="J109" s="4">
        <v>60</v>
      </c>
      <c r="K109" t="s">
        <v>21</v>
      </c>
      <c r="L109" t="str" cm="1">
        <f t="array" ref="L109">_xlfn.IFS(C109&lt;18,"under 18",C109&lt;36,"btw 18 &amp; 35",C109&lt;51,"btw 36 &amp;50",C109&lt;66,"btw 51 &amp; 66",C109&gt;66,"66 &amp; above")</f>
        <v>under 18</v>
      </c>
      <c r="M109">
        <f t="shared" si="2"/>
        <v>2</v>
      </c>
    </row>
    <row r="110" spans="1:13" x14ac:dyDescent="0.25">
      <c r="A110" t="s">
        <v>265</v>
      </c>
      <c r="B110" t="s">
        <v>266</v>
      </c>
      <c r="C110">
        <v>55</v>
      </c>
      <c r="D110" t="s">
        <v>13</v>
      </c>
      <c r="E110" s="2">
        <v>45784</v>
      </c>
      <c r="F110" s="2">
        <v>45785</v>
      </c>
      <c r="G110" t="s">
        <v>32</v>
      </c>
      <c r="H110" t="s">
        <v>88</v>
      </c>
      <c r="I110" s="3">
        <v>1178.75</v>
      </c>
      <c r="J110" s="4">
        <v>70</v>
      </c>
      <c r="K110" t="s">
        <v>16</v>
      </c>
      <c r="L110" t="str" cm="1">
        <f t="array" ref="L110">_xlfn.IFS(C110&lt;18,"under 18",C110&lt;36,"btw 18 &amp; 35",C110&lt;51,"btw 36 &amp;50",C110&lt;66,"btw 51 &amp; 66",C110&gt;66,"66 &amp; above")</f>
        <v>btw 51 &amp; 66</v>
      </c>
      <c r="M110">
        <f t="shared" si="2"/>
        <v>1</v>
      </c>
    </row>
    <row r="111" spans="1:13" x14ac:dyDescent="0.25">
      <c r="A111" t="s">
        <v>267</v>
      </c>
      <c r="B111" t="s">
        <v>268</v>
      </c>
      <c r="C111">
        <v>69</v>
      </c>
      <c r="D111" t="s">
        <v>13</v>
      </c>
      <c r="E111" s="2">
        <v>45402</v>
      </c>
      <c r="F111" s="2">
        <v>45405</v>
      </c>
      <c r="G111" t="s">
        <v>24</v>
      </c>
      <c r="H111" t="s">
        <v>25</v>
      </c>
      <c r="I111" s="3">
        <v>4895.09</v>
      </c>
      <c r="J111" s="4">
        <v>50</v>
      </c>
      <c r="K111" t="s">
        <v>26</v>
      </c>
      <c r="L111" t="str" cm="1">
        <f t="array" ref="L111">_xlfn.IFS(C111&lt;18,"under 18",C111&lt;36,"btw 18 &amp; 35",C111&lt;51,"btw 36 &amp;50",C111&lt;66,"btw 51 &amp; 66",C111&gt;66,"66 &amp; above")</f>
        <v>66 &amp; above</v>
      </c>
      <c r="M111">
        <f t="shared" si="2"/>
        <v>3</v>
      </c>
    </row>
    <row r="112" spans="1:13" x14ac:dyDescent="0.25">
      <c r="A112" t="s">
        <v>269</v>
      </c>
      <c r="B112" t="s">
        <v>111</v>
      </c>
      <c r="C112">
        <v>2</v>
      </c>
      <c r="D112" t="s">
        <v>13</v>
      </c>
      <c r="E112" s="2">
        <v>45580</v>
      </c>
      <c r="F112" s="2">
        <v>45581</v>
      </c>
      <c r="G112" t="s">
        <v>50</v>
      </c>
      <c r="H112" t="s">
        <v>118</v>
      </c>
      <c r="I112" s="3">
        <v>819.61</v>
      </c>
      <c r="J112" s="4">
        <v>80</v>
      </c>
      <c r="K112" t="s">
        <v>16</v>
      </c>
      <c r="L112" t="str" cm="1">
        <f t="array" ref="L112">_xlfn.IFS(C112&lt;18,"under 18",C112&lt;36,"btw 18 &amp; 35",C112&lt;51,"btw 36 &amp;50",C112&lt;66,"btw 51 &amp; 66",C112&gt;66,"66 &amp; above")</f>
        <v>under 18</v>
      </c>
      <c r="M112">
        <f t="shared" si="2"/>
        <v>1</v>
      </c>
    </row>
    <row r="113" spans="1:13" x14ac:dyDescent="0.25">
      <c r="A113" t="s">
        <v>270</v>
      </c>
      <c r="B113" t="s">
        <v>271</v>
      </c>
      <c r="C113">
        <v>40</v>
      </c>
      <c r="D113" t="s">
        <v>19</v>
      </c>
      <c r="E113" s="2">
        <v>45630</v>
      </c>
      <c r="F113" s="2">
        <v>45632</v>
      </c>
      <c r="G113" t="s">
        <v>24</v>
      </c>
      <c r="H113" t="s">
        <v>25</v>
      </c>
      <c r="I113" s="3">
        <v>2899.4</v>
      </c>
      <c r="J113" s="4">
        <v>70</v>
      </c>
      <c r="K113" t="s">
        <v>21</v>
      </c>
      <c r="L113" t="str" cm="1">
        <f t="array" ref="L113">_xlfn.IFS(C113&lt;18,"under 18",C113&lt;36,"btw 18 &amp; 35",C113&lt;51,"btw 36 &amp;50",C113&lt;66,"btw 51 &amp; 66",C113&gt;66,"66 &amp; above")</f>
        <v>btw 36 &amp;50</v>
      </c>
      <c r="M113">
        <f t="shared" si="2"/>
        <v>2</v>
      </c>
    </row>
    <row r="114" spans="1:13" x14ac:dyDescent="0.25">
      <c r="A114" t="s">
        <v>272</v>
      </c>
      <c r="B114" t="s">
        <v>273</v>
      </c>
      <c r="C114">
        <v>4</v>
      </c>
      <c r="D114" t="s">
        <v>19</v>
      </c>
      <c r="E114" s="2">
        <v>45296</v>
      </c>
      <c r="F114" s="2">
        <v>45298</v>
      </c>
      <c r="G114" t="s">
        <v>50</v>
      </c>
      <c r="H114" t="s">
        <v>124</v>
      </c>
      <c r="I114" s="3">
        <v>2638.05</v>
      </c>
      <c r="J114" s="4">
        <v>90</v>
      </c>
      <c r="K114" t="s">
        <v>21</v>
      </c>
      <c r="L114" t="str" cm="1">
        <f t="array" ref="L114">_xlfn.IFS(C114&lt;18,"under 18",C114&lt;36,"btw 18 &amp; 35",C114&lt;51,"btw 36 &amp;50",C114&lt;66,"btw 51 &amp; 66",C114&gt;66,"66 &amp; above")</f>
        <v>under 18</v>
      </c>
      <c r="M114">
        <f t="shared" si="2"/>
        <v>2</v>
      </c>
    </row>
    <row r="115" spans="1:13" x14ac:dyDescent="0.25">
      <c r="A115" t="s">
        <v>274</v>
      </c>
      <c r="B115" t="s">
        <v>275</v>
      </c>
      <c r="C115">
        <v>19</v>
      </c>
      <c r="D115" t="s">
        <v>19</v>
      </c>
      <c r="E115" s="2">
        <v>45420</v>
      </c>
      <c r="F115" s="2">
        <v>45423</v>
      </c>
      <c r="G115" t="s">
        <v>24</v>
      </c>
      <c r="H115" t="s">
        <v>29</v>
      </c>
      <c r="I115" s="3">
        <v>6176.26</v>
      </c>
      <c r="J115" s="4">
        <v>70</v>
      </c>
      <c r="K115" t="s">
        <v>21</v>
      </c>
      <c r="L115" t="str" cm="1">
        <f t="array" ref="L115">_xlfn.IFS(C115&lt;18,"under 18",C115&lt;36,"btw 18 &amp; 35",C115&lt;51,"btw 36 &amp;50",C115&lt;66,"btw 51 &amp; 66",C115&gt;66,"66 &amp; above")</f>
        <v>btw 18 &amp; 35</v>
      </c>
      <c r="M115">
        <f t="shared" si="2"/>
        <v>3</v>
      </c>
    </row>
    <row r="116" spans="1:13" x14ac:dyDescent="0.25">
      <c r="A116" t="s">
        <v>276</v>
      </c>
      <c r="B116" t="s">
        <v>277</v>
      </c>
      <c r="C116">
        <v>29</v>
      </c>
      <c r="D116" t="s">
        <v>13</v>
      </c>
      <c r="E116" s="2">
        <v>45912</v>
      </c>
      <c r="F116" s="2">
        <v>45915</v>
      </c>
      <c r="G116" t="s">
        <v>61</v>
      </c>
      <c r="H116" t="s">
        <v>143</v>
      </c>
      <c r="I116" s="3">
        <v>4035.23</v>
      </c>
      <c r="J116" s="4">
        <v>80</v>
      </c>
      <c r="K116" t="s">
        <v>16</v>
      </c>
      <c r="L116" t="str" cm="1">
        <f t="array" ref="L116">_xlfn.IFS(C116&lt;18,"under 18",C116&lt;36,"btw 18 &amp; 35",C116&lt;51,"btw 36 &amp;50",C116&lt;66,"btw 51 &amp; 66",C116&gt;66,"66 &amp; above")</f>
        <v>btw 18 &amp; 35</v>
      </c>
      <c r="M116">
        <f t="shared" si="2"/>
        <v>3</v>
      </c>
    </row>
    <row r="117" spans="1:13" x14ac:dyDescent="0.25">
      <c r="A117" t="s">
        <v>278</v>
      </c>
      <c r="B117" t="s">
        <v>279</v>
      </c>
      <c r="C117">
        <v>36</v>
      </c>
      <c r="D117" t="s">
        <v>19</v>
      </c>
      <c r="E117" s="2">
        <v>45377</v>
      </c>
      <c r="F117" s="2">
        <v>45379</v>
      </c>
      <c r="G117" t="s">
        <v>32</v>
      </c>
      <c r="H117" t="s">
        <v>88</v>
      </c>
      <c r="I117" s="3">
        <v>1068.76</v>
      </c>
      <c r="J117" s="4">
        <v>80</v>
      </c>
      <c r="K117" t="s">
        <v>16</v>
      </c>
      <c r="L117" t="str" cm="1">
        <f t="array" ref="L117">_xlfn.IFS(C117&lt;18,"under 18",C117&lt;36,"btw 18 &amp; 35",C117&lt;51,"btw 36 &amp;50",C117&lt;66,"btw 51 &amp; 66",C117&gt;66,"66 &amp; above")</f>
        <v>btw 36 &amp;50</v>
      </c>
      <c r="M117">
        <f t="shared" si="2"/>
        <v>2</v>
      </c>
    </row>
    <row r="118" spans="1:13" x14ac:dyDescent="0.25">
      <c r="A118" t="s">
        <v>280</v>
      </c>
      <c r="B118" t="s">
        <v>281</v>
      </c>
      <c r="C118">
        <v>45</v>
      </c>
      <c r="D118" t="s">
        <v>13</v>
      </c>
      <c r="E118" s="2">
        <v>45460</v>
      </c>
      <c r="F118" s="2">
        <v>45463</v>
      </c>
      <c r="G118" t="s">
        <v>24</v>
      </c>
      <c r="H118" t="s">
        <v>222</v>
      </c>
      <c r="I118" s="3">
        <v>2606.79</v>
      </c>
      <c r="J118" s="4">
        <v>70</v>
      </c>
      <c r="K118" t="s">
        <v>21</v>
      </c>
      <c r="L118" t="str" cm="1">
        <f t="array" ref="L118">_xlfn.IFS(C118&lt;18,"under 18",C118&lt;36,"btw 18 &amp; 35",C118&lt;51,"btw 36 &amp;50",C118&lt;66,"btw 51 &amp; 66",C118&gt;66,"66 &amp; above")</f>
        <v>btw 36 &amp;50</v>
      </c>
      <c r="M118">
        <f t="shared" si="2"/>
        <v>3</v>
      </c>
    </row>
    <row r="119" spans="1:13" x14ac:dyDescent="0.25">
      <c r="A119" t="s">
        <v>282</v>
      </c>
      <c r="B119" t="s">
        <v>283</v>
      </c>
      <c r="C119">
        <v>2</v>
      </c>
      <c r="D119" t="s">
        <v>19</v>
      </c>
      <c r="E119" s="2">
        <v>45821</v>
      </c>
      <c r="F119" s="2">
        <v>45823</v>
      </c>
      <c r="G119" t="s">
        <v>50</v>
      </c>
      <c r="H119" t="s">
        <v>51</v>
      </c>
      <c r="I119" s="3">
        <v>2856.34</v>
      </c>
      <c r="J119" s="4">
        <v>100</v>
      </c>
      <c r="K119" t="s">
        <v>21</v>
      </c>
      <c r="L119" t="str" cm="1">
        <f t="array" ref="L119">_xlfn.IFS(C119&lt;18,"under 18",C119&lt;36,"btw 18 &amp; 35",C119&lt;51,"btw 36 &amp;50",C119&lt;66,"btw 51 &amp; 66",C119&gt;66,"66 &amp; above")</f>
        <v>under 18</v>
      </c>
      <c r="M119">
        <f t="shared" si="2"/>
        <v>2</v>
      </c>
    </row>
    <row r="120" spans="1:13" x14ac:dyDescent="0.25">
      <c r="A120" t="s">
        <v>284</v>
      </c>
      <c r="B120" t="s">
        <v>285</v>
      </c>
      <c r="C120">
        <v>48</v>
      </c>
      <c r="D120" t="s">
        <v>19</v>
      </c>
      <c r="E120" s="2">
        <v>45478</v>
      </c>
      <c r="F120" s="2">
        <v>45486</v>
      </c>
      <c r="G120" t="s">
        <v>61</v>
      </c>
      <c r="H120" t="s">
        <v>98</v>
      </c>
      <c r="I120" s="3">
        <v>13136.54</v>
      </c>
      <c r="J120" s="4">
        <v>100</v>
      </c>
      <c r="K120" t="s">
        <v>21</v>
      </c>
      <c r="L120" t="str" cm="1">
        <f t="array" ref="L120">_xlfn.IFS(C120&lt;18,"under 18",C120&lt;36,"btw 18 &amp; 35",C120&lt;51,"btw 36 &amp;50",C120&lt;66,"btw 51 &amp; 66",C120&gt;66,"66 &amp; above")</f>
        <v>btw 36 &amp;50</v>
      </c>
      <c r="M120">
        <f t="shared" si="2"/>
        <v>8</v>
      </c>
    </row>
    <row r="121" spans="1:13" x14ac:dyDescent="0.25">
      <c r="A121" t="s">
        <v>286</v>
      </c>
      <c r="B121" t="s">
        <v>287</v>
      </c>
      <c r="C121">
        <v>32</v>
      </c>
      <c r="D121" t="s">
        <v>13</v>
      </c>
      <c r="E121" s="2">
        <v>45909</v>
      </c>
      <c r="F121" s="2">
        <v>45915</v>
      </c>
      <c r="G121" t="s">
        <v>61</v>
      </c>
      <c r="H121" t="s">
        <v>78</v>
      </c>
      <c r="I121" s="3">
        <v>10441.879999999999</v>
      </c>
      <c r="J121" s="4">
        <v>70</v>
      </c>
      <c r="K121" t="s">
        <v>21</v>
      </c>
      <c r="L121" t="str" cm="1">
        <f t="array" ref="L121">_xlfn.IFS(C121&lt;18,"under 18",C121&lt;36,"btw 18 &amp; 35",C121&lt;51,"btw 36 &amp;50",C121&lt;66,"btw 51 &amp; 66",C121&gt;66,"66 &amp; above")</f>
        <v>btw 18 &amp; 35</v>
      </c>
      <c r="M121">
        <f t="shared" si="2"/>
        <v>6</v>
      </c>
    </row>
    <row r="122" spans="1:13" x14ac:dyDescent="0.25">
      <c r="A122" t="s">
        <v>288</v>
      </c>
      <c r="B122" t="s">
        <v>289</v>
      </c>
      <c r="C122">
        <v>39</v>
      </c>
      <c r="D122" t="s">
        <v>13</v>
      </c>
      <c r="E122" s="2">
        <v>45529</v>
      </c>
      <c r="F122" s="2">
        <v>45536</v>
      </c>
      <c r="G122" t="s">
        <v>32</v>
      </c>
      <c r="H122" t="s">
        <v>33</v>
      </c>
      <c r="I122" s="3">
        <v>8804.17</v>
      </c>
      <c r="J122" s="4">
        <v>70</v>
      </c>
      <c r="K122" t="s">
        <v>21</v>
      </c>
      <c r="L122" t="str" cm="1">
        <f t="array" ref="L122">_xlfn.IFS(C122&lt;18,"under 18",C122&lt;36,"btw 18 &amp; 35",C122&lt;51,"btw 36 &amp;50",C122&lt;66,"btw 51 &amp; 66",C122&gt;66,"66 &amp; above")</f>
        <v>btw 36 &amp;50</v>
      </c>
      <c r="M122">
        <f t="shared" si="2"/>
        <v>7</v>
      </c>
    </row>
    <row r="123" spans="1:13" x14ac:dyDescent="0.25">
      <c r="A123" t="s">
        <v>290</v>
      </c>
      <c r="B123" t="s">
        <v>291</v>
      </c>
      <c r="C123">
        <v>14</v>
      </c>
      <c r="D123" t="s">
        <v>13</v>
      </c>
      <c r="E123" s="2">
        <v>45433</v>
      </c>
      <c r="F123" s="2">
        <v>45438</v>
      </c>
      <c r="G123" t="s">
        <v>50</v>
      </c>
      <c r="H123" t="s">
        <v>131</v>
      </c>
      <c r="I123" s="3">
        <v>8692.2099999999991</v>
      </c>
      <c r="J123" s="4">
        <v>80</v>
      </c>
      <c r="K123" t="s">
        <v>21</v>
      </c>
      <c r="L123" t="str" cm="1">
        <f t="array" ref="L123">_xlfn.IFS(C123&lt;18,"under 18",C123&lt;36,"btw 18 &amp; 35",C123&lt;51,"btw 36 &amp;50",C123&lt;66,"btw 51 &amp; 66",C123&gt;66,"66 &amp; above")</f>
        <v>under 18</v>
      </c>
      <c r="M123">
        <f t="shared" si="2"/>
        <v>5</v>
      </c>
    </row>
    <row r="124" spans="1:13" x14ac:dyDescent="0.25">
      <c r="A124" t="s">
        <v>292</v>
      </c>
      <c r="B124" t="s">
        <v>293</v>
      </c>
      <c r="C124">
        <v>77</v>
      </c>
      <c r="D124" t="s">
        <v>13</v>
      </c>
      <c r="E124" s="2">
        <v>45601</v>
      </c>
      <c r="F124" s="2">
        <v>45606</v>
      </c>
      <c r="G124" t="s">
        <v>14</v>
      </c>
      <c r="H124" t="s">
        <v>15</v>
      </c>
      <c r="I124" s="3">
        <v>8942.35</v>
      </c>
      <c r="J124" s="4">
        <v>0</v>
      </c>
      <c r="K124" t="s">
        <v>16</v>
      </c>
      <c r="L124" t="str" cm="1">
        <f t="array" ref="L124">_xlfn.IFS(C124&lt;18,"under 18",C124&lt;36,"btw 18 &amp; 35",C124&lt;51,"btw 36 &amp;50",C124&lt;66,"btw 51 &amp; 66",C124&gt;66,"66 &amp; above")</f>
        <v>66 &amp; above</v>
      </c>
      <c r="M124">
        <f t="shared" si="2"/>
        <v>5</v>
      </c>
    </row>
    <row r="125" spans="1:13" x14ac:dyDescent="0.25">
      <c r="A125" t="s">
        <v>294</v>
      </c>
      <c r="B125" t="s">
        <v>295</v>
      </c>
      <c r="C125">
        <v>59</v>
      </c>
      <c r="D125" t="s">
        <v>13</v>
      </c>
      <c r="E125" s="2">
        <v>45786</v>
      </c>
      <c r="F125" s="2">
        <v>45796</v>
      </c>
      <c r="G125" t="s">
        <v>71</v>
      </c>
      <c r="H125" t="s">
        <v>296</v>
      </c>
      <c r="I125" s="3">
        <v>17584.490000000002</v>
      </c>
      <c r="J125" s="4">
        <v>100</v>
      </c>
      <c r="K125" t="s">
        <v>26</v>
      </c>
      <c r="L125" t="str" cm="1">
        <f t="array" ref="L125">_xlfn.IFS(C125&lt;18,"under 18",C125&lt;36,"btw 18 &amp; 35",C125&lt;51,"btw 36 &amp;50",C125&lt;66,"btw 51 &amp; 66",C125&gt;66,"66 &amp; above")</f>
        <v>btw 51 &amp; 66</v>
      </c>
      <c r="M125">
        <f t="shared" si="2"/>
        <v>10</v>
      </c>
    </row>
    <row r="126" spans="1:13" x14ac:dyDescent="0.25">
      <c r="A126" t="s">
        <v>297</v>
      </c>
      <c r="B126" t="s">
        <v>207</v>
      </c>
      <c r="C126">
        <v>84</v>
      </c>
      <c r="D126" t="s">
        <v>19</v>
      </c>
      <c r="E126" s="2">
        <v>45399</v>
      </c>
      <c r="F126" s="2">
        <v>45400</v>
      </c>
      <c r="G126" t="s">
        <v>24</v>
      </c>
      <c r="H126" t="s">
        <v>205</v>
      </c>
      <c r="I126" s="3">
        <v>1921.25</v>
      </c>
      <c r="J126" s="4">
        <v>50</v>
      </c>
      <c r="K126" t="s">
        <v>26</v>
      </c>
      <c r="L126" t="str" cm="1">
        <f t="array" ref="L126">_xlfn.IFS(C126&lt;18,"under 18",C126&lt;36,"btw 18 &amp; 35",C126&lt;51,"btw 36 &amp;50",C126&lt;66,"btw 51 &amp; 66",C126&gt;66,"66 &amp; above")</f>
        <v>66 &amp; above</v>
      </c>
      <c r="M126">
        <f t="shared" si="2"/>
        <v>1</v>
      </c>
    </row>
    <row r="127" spans="1:13" x14ac:dyDescent="0.25">
      <c r="A127" t="s">
        <v>298</v>
      </c>
      <c r="B127" t="s">
        <v>299</v>
      </c>
      <c r="C127">
        <v>41</v>
      </c>
      <c r="D127" t="s">
        <v>19</v>
      </c>
      <c r="E127" s="2">
        <v>45515</v>
      </c>
      <c r="F127" s="2">
        <v>45518</v>
      </c>
      <c r="G127" t="s">
        <v>71</v>
      </c>
      <c r="H127" t="s">
        <v>296</v>
      </c>
      <c r="I127" s="3">
        <v>6966.69</v>
      </c>
      <c r="J127" s="4">
        <v>70</v>
      </c>
      <c r="K127" t="s">
        <v>21</v>
      </c>
      <c r="L127" t="str" cm="1">
        <f t="array" ref="L127">_xlfn.IFS(C127&lt;18,"under 18",C127&lt;36,"btw 18 &amp; 35",C127&lt;51,"btw 36 &amp;50",C127&lt;66,"btw 51 &amp; 66",C127&gt;66,"66 &amp; above")</f>
        <v>btw 36 &amp;50</v>
      </c>
      <c r="M127">
        <f t="shared" si="2"/>
        <v>3</v>
      </c>
    </row>
    <row r="128" spans="1:13" x14ac:dyDescent="0.25">
      <c r="A128" t="s">
        <v>300</v>
      </c>
      <c r="B128" t="s">
        <v>301</v>
      </c>
      <c r="C128">
        <v>4</v>
      </c>
      <c r="D128" t="s">
        <v>19</v>
      </c>
      <c r="E128" s="2">
        <v>45390</v>
      </c>
      <c r="F128" s="2">
        <v>45394</v>
      </c>
      <c r="G128" t="s">
        <v>50</v>
      </c>
      <c r="H128" t="s">
        <v>131</v>
      </c>
      <c r="I128" s="3">
        <v>5715.35</v>
      </c>
      <c r="J128" s="4">
        <v>70</v>
      </c>
      <c r="K128" t="s">
        <v>16</v>
      </c>
      <c r="L128" t="str" cm="1">
        <f t="array" ref="L128">_xlfn.IFS(C128&lt;18,"under 18",C128&lt;36,"btw 18 &amp; 35",C128&lt;51,"btw 36 &amp;50",C128&lt;66,"btw 51 &amp; 66",C128&gt;66,"66 &amp; above")</f>
        <v>under 18</v>
      </c>
      <c r="M128">
        <f t="shared" si="2"/>
        <v>4</v>
      </c>
    </row>
    <row r="129" spans="1:13" x14ac:dyDescent="0.25">
      <c r="A129" t="s">
        <v>302</v>
      </c>
      <c r="B129" t="s">
        <v>303</v>
      </c>
      <c r="C129">
        <v>48</v>
      </c>
      <c r="D129" t="s">
        <v>19</v>
      </c>
      <c r="E129" s="2">
        <v>45936</v>
      </c>
      <c r="F129" s="2">
        <v>45939</v>
      </c>
      <c r="G129" t="s">
        <v>24</v>
      </c>
      <c r="H129" t="s">
        <v>205</v>
      </c>
      <c r="I129" s="3">
        <v>4210.91</v>
      </c>
      <c r="J129" s="4">
        <v>90</v>
      </c>
      <c r="K129" t="s">
        <v>16</v>
      </c>
      <c r="L129" t="str" cm="1">
        <f t="array" ref="L129">_xlfn.IFS(C129&lt;18,"under 18",C129&lt;36,"btw 18 &amp; 35",C129&lt;51,"btw 36 &amp;50",C129&lt;66,"btw 51 &amp; 66",C129&gt;66,"66 &amp; above")</f>
        <v>btw 36 &amp;50</v>
      </c>
      <c r="M129">
        <f t="shared" si="2"/>
        <v>3</v>
      </c>
    </row>
    <row r="130" spans="1:13" x14ac:dyDescent="0.25">
      <c r="A130" t="s">
        <v>304</v>
      </c>
      <c r="B130" t="s">
        <v>305</v>
      </c>
      <c r="C130">
        <v>62</v>
      </c>
      <c r="D130" t="s">
        <v>19</v>
      </c>
      <c r="E130" s="2">
        <v>45353</v>
      </c>
      <c r="F130" s="2">
        <v>45360</v>
      </c>
      <c r="G130" t="s">
        <v>14</v>
      </c>
      <c r="H130" t="s">
        <v>20</v>
      </c>
      <c r="I130" s="3">
        <v>11082.93</v>
      </c>
      <c r="J130" s="4">
        <v>50</v>
      </c>
      <c r="K130" t="s">
        <v>21</v>
      </c>
      <c r="L130" t="str" cm="1">
        <f t="array" ref="L130">_xlfn.IFS(C130&lt;18,"under 18",C130&lt;36,"btw 18 &amp; 35",C130&lt;51,"btw 36 &amp;50",C130&lt;66,"btw 51 &amp; 66",C130&gt;66,"66 &amp; above")</f>
        <v>btw 51 &amp; 66</v>
      </c>
      <c r="M130">
        <f t="shared" si="2"/>
        <v>7</v>
      </c>
    </row>
    <row r="131" spans="1:13" x14ac:dyDescent="0.25">
      <c r="A131" t="s">
        <v>306</v>
      </c>
      <c r="B131" t="s">
        <v>307</v>
      </c>
      <c r="C131">
        <v>31</v>
      </c>
      <c r="D131" t="s">
        <v>19</v>
      </c>
      <c r="E131" s="2">
        <v>45625</v>
      </c>
      <c r="F131" s="2">
        <v>45630</v>
      </c>
      <c r="G131" t="s">
        <v>32</v>
      </c>
      <c r="H131" t="s">
        <v>54</v>
      </c>
      <c r="I131" s="3">
        <v>6234.49</v>
      </c>
      <c r="J131" s="4">
        <v>100</v>
      </c>
      <c r="K131" t="s">
        <v>21</v>
      </c>
      <c r="L131" t="str" cm="1">
        <f t="array" ref="L131">_xlfn.IFS(C131&lt;18,"under 18",C131&lt;36,"btw 18 &amp; 35",C131&lt;51,"btw 36 &amp;50",C131&lt;66,"btw 51 &amp; 66",C131&gt;66,"66 &amp; above")</f>
        <v>btw 18 &amp; 35</v>
      </c>
      <c r="M131">
        <f t="shared" ref="M131:M194" si="3">AVERAGE(F131-E131)</f>
        <v>5</v>
      </c>
    </row>
    <row r="132" spans="1:13" x14ac:dyDescent="0.25">
      <c r="A132" t="s">
        <v>308</v>
      </c>
      <c r="B132" t="s">
        <v>309</v>
      </c>
      <c r="C132">
        <v>65</v>
      </c>
      <c r="D132" t="s">
        <v>19</v>
      </c>
      <c r="E132" s="2">
        <v>45793</v>
      </c>
      <c r="F132" s="2">
        <v>45803</v>
      </c>
      <c r="G132" t="s">
        <v>71</v>
      </c>
      <c r="H132" t="s">
        <v>296</v>
      </c>
      <c r="I132" s="3">
        <v>17644.05</v>
      </c>
      <c r="J132" s="4">
        <v>60</v>
      </c>
      <c r="K132" t="s">
        <v>16</v>
      </c>
      <c r="L132" t="str" cm="1">
        <f t="array" ref="L132">_xlfn.IFS(C132&lt;18,"under 18",C132&lt;36,"btw 18 &amp; 35",C132&lt;51,"btw 36 &amp;50",C132&lt;66,"btw 51 &amp; 66",C132&gt;66,"66 &amp; above")</f>
        <v>btw 51 &amp; 66</v>
      </c>
      <c r="M132">
        <f t="shared" si="3"/>
        <v>10</v>
      </c>
    </row>
    <row r="133" spans="1:13" x14ac:dyDescent="0.25">
      <c r="A133" t="s">
        <v>310</v>
      </c>
      <c r="B133" t="s">
        <v>311</v>
      </c>
      <c r="C133">
        <v>80</v>
      </c>
      <c r="D133" t="s">
        <v>13</v>
      </c>
      <c r="E133" s="2">
        <v>45587</v>
      </c>
      <c r="F133" s="2">
        <v>45596</v>
      </c>
      <c r="G133" t="s">
        <v>71</v>
      </c>
      <c r="H133" t="s">
        <v>72</v>
      </c>
      <c r="I133" s="3">
        <v>11838.97</v>
      </c>
      <c r="J133" s="4">
        <v>70</v>
      </c>
      <c r="K133" t="s">
        <v>26</v>
      </c>
      <c r="L133" t="str" cm="1">
        <f t="array" ref="L133">_xlfn.IFS(C133&lt;18,"under 18",C133&lt;36,"btw 18 &amp; 35",C133&lt;51,"btw 36 &amp;50",C133&lt;66,"btw 51 &amp; 66",C133&gt;66,"66 &amp; above")</f>
        <v>66 &amp; above</v>
      </c>
      <c r="M133">
        <f t="shared" si="3"/>
        <v>9</v>
      </c>
    </row>
    <row r="134" spans="1:13" x14ac:dyDescent="0.25">
      <c r="A134" t="s">
        <v>312</v>
      </c>
      <c r="B134" t="s">
        <v>313</v>
      </c>
      <c r="C134">
        <v>9</v>
      </c>
      <c r="D134" t="s">
        <v>13</v>
      </c>
      <c r="E134" s="2">
        <v>45589</v>
      </c>
      <c r="F134" s="2">
        <v>45592</v>
      </c>
      <c r="G134" t="s">
        <v>50</v>
      </c>
      <c r="H134" t="s">
        <v>124</v>
      </c>
      <c r="I134" s="3">
        <v>2139.13</v>
      </c>
      <c r="J134" s="4">
        <v>90</v>
      </c>
      <c r="K134" t="s">
        <v>26</v>
      </c>
      <c r="L134" t="str" cm="1">
        <f t="array" ref="L134">_xlfn.IFS(C134&lt;18,"under 18",C134&lt;36,"btw 18 &amp; 35",C134&lt;51,"btw 36 &amp;50",C134&lt;66,"btw 51 &amp; 66",C134&gt;66,"66 &amp; above")</f>
        <v>under 18</v>
      </c>
      <c r="M134">
        <f t="shared" si="3"/>
        <v>3</v>
      </c>
    </row>
    <row r="135" spans="1:13" x14ac:dyDescent="0.25">
      <c r="A135" t="s">
        <v>314</v>
      </c>
      <c r="B135" t="s">
        <v>315</v>
      </c>
      <c r="C135">
        <v>48</v>
      </c>
      <c r="D135" t="s">
        <v>19</v>
      </c>
      <c r="E135" s="2">
        <v>45436</v>
      </c>
      <c r="F135" s="2">
        <v>45443</v>
      </c>
      <c r="G135" t="s">
        <v>14</v>
      </c>
      <c r="H135" t="s">
        <v>39</v>
      </c>
      <c r="I135" s="3">
        <v>10657.18</v>
      </c>
      <c r="J135" s="4">
        <v>100</v>
      </c>
      <c r="K135" t="s">
        <v>16</v>
      </c>
      <c r="L135" t="str" cm="1">
        <f t="array" ref="L135">_xlfn.IFS(C135&lt;18,"under 18",C135&lt;36,"btw 18 &amp; 35",C135&lt;51,"btw 36 &amp;50",C135&lt;66,"btw 51 &amp; 66",C135&gt;66,"66 &amp; above")</f>
        <v>btw 36 &amp;50</v>
      </c>
      <c r="M135">
        <f t="shared" si="3"/>
        <v>7</v>
      </c>
    </row>
    <row r="136" spans="1:13" x14ac:dyDescent="0.25">
      <c r="A136" t="s">
        <v>316</v>
      </c>
      <c r="B136" t="s">
        <v>317</v>
      </c>
      <c r="C136">
        <v>83</v>
      </c>
      <c r="D136" t="s">
        <v>19</v>
      </c>
      <c r="E136" s="2">
        <v>45899</v>
      </c>
      <c r="F136" s="2">
        <v>45905</v>
      </c>
      <c r="G136" t="s">
        <v>14</v>
      </c>
      <c r="H136" t="s">
        <v>166</v>
      </c>
      <c r="I136" s="3">
        <v>17707.36</v>
      </c>
      <c r="J136" s="4">
        <v>90</v>
      </c>
      <c r="K136" t="s">
        <v>16</v>
      </c>
      <c r="L136" t="str" cm="1">
        <f t="array" ref="L136">_xlfn.IFS(C136&lt;18,"under 18",C136&lt;36,"btw 18 &amp; 35",C136&lt;51,"btw 36 &amp;50",C136&lt;66,"btw 51 &amp; 66",C136&gt;66,"66 &amp; above")</f>
        <v>66 &amp; above</v>
      </c>
      <c r="M136">
        <f t="shared" si="3"/>
        <v>6</v>
      </c>
    </row>
    <row r="137" spans="1:13" x14ac:dyDescent="0.25">
      <c r="A137" t="s">
        <v>318</v>
      </c>
      <c r="B137" t="s">
        <v>319</v>
      </c>
      <c r="C137">
        <v>57</v>
      </c>
      <c r="D137" t="s">
        <v>13</v>
      </c>
      <c r="E137" s="2">
        <v>45619</v>
      </c>
      <c r="F137" s="2">
        <v>45632</v>
      </c>
      <c r="G137" t="s">
        <v>61</v>
      </c>
      <c r="H137" t="s">
        <v>98</v>
      </c>
      <c r="I137" s="3">
        <v>31874.83</v>
      </c>
      <c r="J137" s="4">
        <v>90</v>
      </c>
      <c r="K137" t="s">
        <v>21</v>
      </c>
      <c r="L137" t="str" cm="1">
        <f t="array" ref="L137">_xlfn.IFS(C137&lt;18,"under 18",C137&lt;36,"btw 18 &amp; 35",C137&lt;51,"btw 36 &amp;50",C137&lt;66,"btw 51 &amp; 66",C137&gt;66,"66 &amp; above")</f>
        <v>btw 51 &amp; 66</v>
      </c>
      <c r="M137">
        <f t="shared" si="3"/>
        <v>13</v>
      </c>
    </row>
    <row r="138" spans="1:13" x14ac:dyDescent="0.25">
      <c r="A138" t="s">
        <v>320</v>
      </c>
      <c r="B138" t="s">
        <v>321</v>
      </c>
      <c r="C138">
        <v>50</v>
      </c>
      <c r="D138" t="s">
        <v>19</v>
      </c>
      <c r="E138" s="2">
        <v>45458</v>
      </c>
      <c r="F138" s="2">
        <v>45464</v>
      </c>
      <c r="G138" t="s">
        <v>32</v>
      </c>
      <c r="H138" t="s">
        <v>54</v>
      </c>
      <c r="I138" s="3">
        <v>5681.44</v>
      </c>
      <c r="J138" s="4">
        <v>70</v>
      </c>
      <c r="K138" t="s">
        <v>16</v>
      </c>
      <c r="L138" t="str" cm="1">
        <f t="array" ref="L138">_xlfn.IFS(C138&lt;18,"under 18",C138&lt;36,"btw 18 &amp; 35",C138&lt;51,"btw 36 &amp;50",C138&lt;66,"btw 51 &amp; 66",C138&gt;66,"66 &amp; above")</f>
        <v>btw 36 &amp;50</v>
      </c>
      <c r="M138">
        <f t="shared" si="3"/>
        <v>6</v>
      </c>
    </row>
    <row r="139" spans="1:13" x14ac:dyDescent="0.25">
      <c r="A139" t="s">
        <v>322</v>
      </c>
      <c r="B139" t="s">
        <v>323</v>
      </c>
      <c r="C139">
        <v>58</v>
      </c>
      <c r="D139" t="s">
        <v>19</v>
      </c>
      <c r="E139" s="2">
        <v>45841</v>
      </c>
      <c r="F139" s="2">
        <v>45848</v>
      </c>
      <c r="G139" t="s">
        <v>14</v>
      </c>
      <c r="H139" t="s">
        <v>15</v>
      </c>
      <c r="I139" s="3">
        <v>17588.68</v>
      </c>
      <c r="J139" s="4">
        <v>90</v>
      </c>
      <c r="K139" t="s">
        <v>16</v>
      </c>
      <c r="L139" t="str" cm="1">
        <f t="array" ref="L139">_xlfn.IFS(C139&lt;18,"under 18",C139&lt;36,"btw 18 &amp; 35",C139&lt;51,"btw 36 &amp;50",C139&lt;66,"btw 51 &amp; 66",C139&gt;66,"66 &amp; above")</f>
        <v>btw 51 &amp; 66</v>
      </c>
      <c r="M139">
        <f t="shared" si="3"/>
        <v>7</v>
      </c>
    </row>
    <row r="140" spans="1:13" x14ac:dyDescent="0.25">
      <c r="A140" t="s">
        <v>324</v>
      </c>
      <c r="B140" t="s">
        <v>325</v>
      </c>
      <c r="C140">
        <v>58</v>
      </c>
      <c r="D140" t="s">
        <v>13</v>
      </c>
      <c r="E140" s="2">
        <v>45749</v>
      </c>
      <c r="F140" s="2">
        <v>45751</v>
      </c>
      <c r="G140" t="s">
        <v>32</v>
      </c>
      <c r="H140" t="s">
        <v>235</v>
      </c>
      <c r="I140" s="3">
        <v>1113.6199999999999</v>
      </c>
      <c r="J140" s="4">
        <v>80</v>
      </c>
      <c r="K140" t="s">
        <v>16</v>
      </c>
      <c r="L140" t="str" cm="1">
        <f t="array" ref="L140">_xlfn.IFS(C140&lt;18,"under 18",C140&lt;36,"btw 18 &amp; 35",C140&lt;51,"btw 36 &amp;50",C140&lt;66,"btw 51 &amp; 66",C140&gt;66,"66 &amp; above")</f>
        <v>btw 51 &amp; 66</v>
      </c>
      <c r="M140">
        <f t="shared" si="3"/>
        <v>2</v>
      </c>
    </row>
    <row r="141" spans="1:13" x14ac:dyDescent="0.25">
      <c r="A141" t="s">
        <v>326</v>
      </c>
      <c r="B141" t="s">
        <v>327</v>
      </c>
      <c r="C141">
        <v>60</v>
      </c>
      <c r="D141" t="s">
        <v>13</v>
      </c>
      <c r="E141" s="2">
        <v>45465</v>
      </c>
      <c r="F141" s="2">
        <v>45470</v>
      </c>
      <c r="G141" t="s">
        <v>32</v>
      </c>
      <c r="H141" t="s">
        <v>235</v>
      </c>
      <c r="I141" s="3">
        <v>3222.62</v>
      </c>
      <c r="J141" s="4">
        <v>90</v>
      </c>
      <c r="K141" t="s">
        <v>21</v>
      </c>
      <c r="L141" t="str" cm="1">
        <f t="array" ref="L141">_xlfn.IFS(C141&lt;18,"under 18",C141&lt;36,"btw 18 &amp; 35",C141&lt;51,"btw 36 &amp;50",C141&lt;66,"btw 51 &amp; 66",C141&gt;66,"66 &amp; above")</f>
        <v>btw 51 &amp; 66</v>
      </c>
      <c r="M141">
        <f t="shared" si="3"/>
        <v>5</v>
      </c>
    </row>
    <row r="142" spans="1:13" x14ac:dyDescent="0.25">
      <c r="A142" t="s">
        <v>328</v>
      </c>
      <c r="B142" t="s">
        <v>329</v>
      </c>
      <c r="C142">
        <v>53</v>
      </c>
      <c r="D142" t="s">
        <v>19</v>
      </c>
      <c r="E142" s="2">
        <v>45481</v>
      </c>
      <c r="F142" s="2">
        <v>45486</v>
      </c>
      <c r="G142" t="s">
        <v>32</v>
      </c>
      <c r="H142" t="s">
        <v>33</v>
      </c>
      <c r="I142" s="3">
        <v>4276.67</v>
      </c>
      <c r="J142" s="4">
        <v>50</v>
      </c>
      <c r="K142" t="s">
        <v>16</v>
      </c>
      <c r="L142" t="str" cm="1">
        <f t="array" ref="L142">_xlfn.IFS(C142&lt;18,"under 18",C142&lt;36,"btw 18 &amp; 35",C142&lt;51,"btw 36 &amp;50",C142&lt;66,"btw 51 &amp; 66",C142&gt;66,"66 &amp; above")</f>
        <v>btw 51 &amp; 66</v>
      </c>
      <c r="M142">
        <f t="shared" si="3"/>
        <v>5</v>
      </c>
    </row>
    <row r="143" spans="1:13" x14ac:dyDescent="0.25">
      <c r="A143" t="s">
        <v>330</v>
      </c>
      <c r="B143" t="s">
        <v>331</v>
      </c>
      <c r="C143">
        <v>37</v>
      </c>
      <c r="D143" t="s">
        <v>19</v>
      </c>
      <c r="E143" s="2">
        <v>45754</v>
      </c>
      <c r="F143" s="2">
        <v>45758</v>
      </c>
      <c r="G143" t="s">
        <v>32</v>
      </c>
      <c r="H143" t="s">
        <v>54</v>
      </c>
      <c r="I143" s="3">
        <v>2378.61</v>
      </c>
      <c r="J143" s="4">
        <v>70</v>
      </c>
      <c r="K143" t="s">
        <v>16</v>
      </c>
      <c r="L143" t="str" cm="1">
        <f t="array" ref="L143">_xlfn.IFS(C143&lt;18,"under 18",C143&lt;36,"btw 18 &amp; 35",C143&lt;51,"btw 36 &amp;50",C143&lt;66,"btw 51 &amp; 66",C143&gt;66,"66 &amp; above")</f>
        <v>btw 36 &amp;50</v>
      </c>
      <c r="M143">
        <f t="shared" si="3"/>
        <v>4</v>
      </c>
    </row>
    <row r="144" spans="1:13" x14ac:dyDescent="0.25">
      <c r="A144" t="s">
        <v>332</v>
      </c>
      <c r="B144" t="s">
        <v>333</v>
      </c>
      <c r="C144">
        <v>52</v>
      </c>
      <c r="D144" t="s">
        <v>13</v>
      </c>
      <c r="E144" s="2">
        <v>45295</v>
      </c>
      <c r="F144" s="2">
        <v>45296</v>
      </c>
      <c r="G144" t="s">
        <v>24</v>
      </c>
      <c r="H144" t="s">
        <v>334</v>
      </c>
      <c r="I144" s="3">
        <v>1802.47</v>
      </c>
      <c r="J144" s="4">
        <v>70</v>
      </c>
      <c r="K144" t="s">
        <v>26</v>
      </c>
      <c r="L144" t="str" cm="1">
        <f t="array" ref="L144">_xlfn.IFS(C144&lt;18,"under 18",C144&lt;36,"btw 18 &amp; 35",C144&lt;51,"btw 36 &amp;50",C144&lt;66,"btw 51 &amp; 66",C144&gt;66,"66 &amp; above")</f>
        <v>btw 51 &amp; 66</v>
      </c>
      <c r="M144">
        <f t="shared" si="3"/>
        <v>1</v>
      </c>
    </row>
    <row r="145" spans="1:13" x14ac:dyDescent="0.25">
      <c r="A145" t="s">
        <v>335</v>
      </c>
      <c r="B145" t="s">
        <v>336</v>
      </c>
      <c r="C145">
        <v>64</v>
      </c>
      <c r="D145" t="s">
        <v>19</v>
      </c>
      <c r="E145" s="2">
        <v>45414</v>
      </c>
      <c r="F145" s="2">
        <v>45423</v>
      </c>
      <c r="G145" t="s">
        <v>14</v>
      </c>
      <c r="H145" t="s">
        <v>166</v>
      </c>
      <c r="I145" s="3">
        <v>26472.01</v>
      </c>
      <c r="J145" s="4">
        <v>60</v>
      </c>
      <c r="K145" t="s">
        <v>26</v>
      </c>
      <c r="L145" t="str" cm="1">
        <f t="array" ref="L145">_xlfn.IFS(C145&lt;18,"under 18",C145&lt;36,"btw 18 &amp; 35",C145&lt;51,"btw 36 &amp;50",C145&lt;66,"btw 51 &amp; 66",C145&gt;66,"66 &amp; above")</f>
        <v>btw 51 &amp; 66</v>
      </c>
      <c r="M145">
        <f t="shared" si="3"/>
        <v>9</v>
      </c>
    </row>
    <row r="146" spans="1:13" x14ac:dyDescent="0.25">
      <c r="A146" t="s">
        <v>337</v>
      </c>
      <c r="B146" t="s">
        <v>338</v>
      </c>
      <c r="C146">
        <v>31</v>
      </c>
      <c r="D146" t="s">
        <v>13</v>
      </c>
      <c r="E146" s="2">
        <v>45861</v>
      </c>
      <c r="F146" s="2">
        <v>45870</v>
      </c>
      <c r="G146" t="s">
        <v>71</v>
      </c>
      <c r="H146" t="s">
        <v>296</v>
      </c>
      <c r="I146" s="3">
        <v>15209.42</v>
      </c>
      <c r="J146" s="4">
        <v>80</v>
      </c>
      <c r="K146" t="s">
        <v>21</v>
      </c>
      <c r="L146" t="str" cm="1">
        <f t="array" ref="L146">_xlfn.IFS(C146&lt;18,"under 18",C146&lt;36,"btw 18 &amp; 35",C146&lt;51,"btw 36 &amp;50",C146&lt;66,"btw 51 &amp; 66",C146&gt;66,"66 &amp; above")</f>
        <v>btw 18 &amp; 35</v>
      </c>
      <c r="M146">
        <f t="shared" si="3"/>
        <v>9</v>
      </c>
    </row>
    <row r="147" spans="1:13" x14ac:dyDescent="0.25">
      <c r="A147" t="s">
        <v>339</v>
      </c>
      <c r="B147" t="s">
        <v>23</v>
      </c>
      <c r="C147">
        <v>54</v>
      </c>
      <c r="D147" t="s">
        <v>19</v>
      </c>
      <c r="E147" s="2">
        <v>45849</v>
      </c>
      <c r="F147" s="2">
        <v>45850</v>
      </c>
      <c r="G147" t="s">
        <v>32</v>
      </c>
      <c r="H147" t="s">
        <v>54</v>
      </c>
      <c r="I147" s="3">
        <v>683.93</v>
      </c>
      <c r="J147" s="4">
        <v>0</v>
      </c>
      <c r="K147" t="s">
        <v>21</v>
      </c>
      <c r="L147" t="str" cm="1">
        <f t="array" ref="L147">_xlfn.IFS(C147&lt;18,"under 18",C147&lt;36,"btw 18 &amp; 35",C147&lt;51,"btw 36 &amp;50",C147&lt;66,"btw 51 &amp; 66",C147&gt;66,"66 &amp; above")</f>
        <v>btw 51 &amp; 66</v>
      </c>
      <c r="M147">
        <f t="shared" si="3"/>
        <v>1</v>
      </c>
    </row>
    <row r="148" spans="1:13" x14ac:dyDescent="0.25">
      <c r="A148" t="s">
        <v>340</v>
      </c>
      <c r="B148" t="s">
        <v>341</v>
      </c>
      <c r="C148">
        <v>77</v>
      </c>
      <c r="D148" t="s">
        <v>19</v>
      </c>
      <c r="E148" s="2">
        <v>45382</v>
      </c>
      <c r="F148" s="2">
        <v>45386</v>
      </c>
      <c r="G148" t="s">
        <v>32</v>
      </c>
      <c r="H148" t="s">
        <v>88</v>
      </c>
      <c r="I148" s="3">
        <v>2163.62</v>
      </c>
      <c r="J148" s="4">
        <v>60</v>
      </c>
      <c r="K148" t="s">
        <v>16</v>
      </c>
      <c r="L148" t="str" cm="1">
        <f t="array" ref="L148">_xlfn.IFS(C148&lt;18,"under 18",C148&lt;36,"btw 18 &amp; 35",C148&lt;51,"btw 36 &amp;50",C148&lt;66,"btw 51 &amp; 66",C148&gt;66,"66 &amp; above")</f>
        <v>66 &amp; above</v>
      </c>
      <c r="M148">
        <f t="shared" si="3"/>
        <v>4</v>
      </c>
    </row>
    <row r="149" spans="1:13" x14ac:dyDescent="0.25">
      <c r="A149" t="s">
        <v>342</v>
      </c>
      <c r="B149" t="s">
        <v>343</v>
      </c>
      <c r="C149">
        <v>28</v>
      </c>
      <c r="D149" t="s">
        <v>19</v>
      </c>
      <c r="E149" s="2">
        <v>45904</v>
      </c>
      <c r="F149" s="2">
        <v>45907</v>
      </c>
      <c r="G149" t="s">
        <v>24</v>
      </c>
      <c r="H149" t="s">
        <v>83</v>
      </c>
      <c r="I149" s="3">
        <v>7033.75</v>
      </c>
      <c r="J149" s="4">
        <v>90</v>
      </c>
      <c r="K149" t="s">
        <v>16</v>
      </c>
      <c r="L149" t="str" cm="1">
        <f t="array" ref="L149">_xlfn.IFS(C149&lt;18,"under 18",C149&lt;36,"btw 18 &amp; 35",C149&lt;51,"btw 36 &amp;50",C149&lt;66,"btw 51 &amp; 66",C149&gt;66,"66 &amp; above")</f>
        <v>btw 18 &amp; 35</v>
      </c>
      <c r="M149">
        <f t="shared" si="3"/>
        <v>3</v>
      </c>
    </row>
    <row r="150" spans="1:13" x14ac:dyDescent="0.25">
      <c r="A150" t="s">
        <v>344</v>
      </c>
      <c r="B150" t="s">
        <v>345</v>
      </c>
      <c r="C150">
        <v>57</v>
      </c>
      <c r="D150" t="s">
        <v>19</v>
      </c>
      <c r="E150" s="2">
        <v>45647</v>
      </c>
      <c r="F150" s="2">
        <v>45652</v>
      </c>
      <c r="G150" t="s">
        <v>14</v>
      </c>
      <c r="H150" t="s">
        <v>103</v>
      </c>
      <c r="I150" s="3">
        <v>9216.99</v>
      </c>
      <c r="J150" s="4">
        <v>100</v>
      </c>
      <c r="K150" t="s">
        <v>16</v>
      </c>
      <c r="L150" t="str" cm="1">
        <f t="array" ref="L150">_xlfn.IFS(C150&lt;18,"under 18",C150&lt;36,"btw 18 &amp; 35",C150&lt;51,"btw 36 &amp;50",C150&lt;66,"btw 51 &amp; 66",C150&gt;66,"66 &amp; above")</f>
        <v>btw 51 &amp; 66</v>
      </c>
      <c r="M150">
        <f t="shared" si="3"/>
        <v>5</v>
      </c>
    </row>
    <row r="151" spans="1:13" x14ac:dyDescent="0.25">
      <c r="A151" t="s">
        <v>346</v>
      </c>
      <c r="B151" t="s">
        <v>347</v>
      </c>
      <c r="C151">
        <v>32</v>
      </c>
      <c r="D151" t="s">
        <v>19</v>
      </c>
      <c r="E151" s="2">
        <v>45778</v>
      </c>
      <c r="F151" s="2">
        <v>45780</v>
      </c>
      <c r="G151" t="s">
        <v>32</v>
      </c>
      <c r="H151" t="s">
        <v>54</v>
      </c>
      <c r="I151" s="3">
        <v>1561.35</v>
      </c>
      <c r="J151" s="4">
        <v>90</v>
      </c>
      <c r="K151" t="s">
        <v>26</v>
      </c>
      <c r="L151" t="str" cm="1">
        <f t="array" ref="L151">_xlfn.IFS(C151&lt;18,"under 18",C151&lt;36,"btw 18 &amp; 35",C151&lt;51,"btw 36 &amp;50",C151&lt;66,"btw 51 &amp; 66",C151&gt;66,"66 &amp; above")</f>
        <v>btw 18 &amp; 35</v>
      </c>
      <c r="M151">
        <f t="shared" si="3"/>
        <v>2</v>
      </c>
    </row>
    <row r="152" spans="1:13" x14ac:dyDescent="0.25">
      <c r="A152" t="s">
        <v>348</v>
      </c>
      <c r="B152" t="s">
        <v>349</v>
      </c>
      <c r="C152">
        <v>41</v>
      </c>
      <c r="D152" t="s">
        <v>19</v>
      </c>
      <c r="E152" s="2">
        <v>45849</v>
      </c>
      <c r="F152" s="2">
        <v>45858</v>
      </c>
      <c r="G152" t="s">
        <v>14</v>
      </c>
      <c r="H152" t="s">
        <v>15</v>
      </c>
      <c r="I152" s="3">
        <v>24856.18</v>
      </c>
      <c r="J152" s="4">
        <v>100</v>
      </c>
      <c r="K152" t="s">
        <v>16</v>
      </c>
      <c r="L152" t="str" cm="1">
        <f t="array" ref="L152">_xlfn.IFS(C152&lt;18,"under 18",C152&lt;36,"btw 18 &amp; 35",C152&lt;51,"btw 36 &amp;50",C152&lt;66,"btw 51 &amp; 66",C152&gt;66,"66 &amp; above")</f>
        <v>btw 36 &amp;50</v>
      </c>
      <c r="M152">
        <f t="shared" si="3"/>
        <v>9</v>
      </c>
    </row>
    <row r="153" spans="1:13" x14ac:dyDescent="0.25">
      <c r="A153" t="s">
        <v>350</v>
      </c>
      <c r="B153" t="s">
        <v>351</v>
      </c>
      <c r="C153">
        <v>43</v>
      </c>
      <c r="D153" t="s">
        <v>13</v>
      </c>
      <c r="E153" s="2">
        <v>45799</v>
      </c>
      <c r="F153" s="2">
        <v>45801</v>
      </c>
      <c r="G153" t="s">
        <v>24</v>
      </c>
      <c r="H153" t="s">
        <v>83</v>
      </c>
      <c r="I153" s="3">
        <v>2493.0500000000002</v>
      </c>
      <c r="J153" s="4">
        <v>90</v>
      </c>
      <c r="K153" t="s">
        <v>16</v>
      </c>
      <c r="L153" t="str" cm="1">
        <f t="array" ref="L153">_xlfn.IFS(C153&lt;18,"under 18",C153&lt;36,"btw 18 &amp; 35",C153&lt;51,"btw 36 &amp;50",C153&lt;66,"btw 51 &amp; 66",C153&gt;66,"66 &amp; above")</f>
        <v>btw 36 &amp;50</v>
      </c>
      <c r="M153">
        <f t="shared" si="3"/>
        <v>2</v>
      </c>
    </row>
    <row r="154" spans="1:13" x14ac:dyDescent="0.25">
      <c r="A154" t="s">
        <v>352</v>
      </c>
      <c r="B154" t="s">
        <v>353</v>
      </c>
      <c r="C154">
        <v>49</v>
      </c>
      <c r="D154" t="s">
        <v>13</v>
      </c>
      <c r="E154" s="2">
        <v>45400</v>
      </c>
      <c r="F154" s="2">
        <v>45403</v>
      </c>
      <c r="G154" t="s">
        <v>24</v>
      </c>
      <c r="H154" t="s">
        <v>42</v>
      </c>
      <c r="I154" s="3">
        <v>5177.47</v>
      </c>
      <c r="J154" s="4">
        <v>60</v>
      </c>
      <c r="K154" t="s">
        <v>16</v>
      </c>
      <c r="L154" t="str" cm="1">
        <f t="array" ref="L154">_xlfn.IFS(C154&lt;18,"under 18",C154&lt;36,"btw 18 &amp; 35",C154&lt;51,"btw 36 &amp;50",C154&lt;66,"btw 51 &amp; 66",C154&gt;66,"66 &amp; above")</f>
        <v>btw 36 &amp;50</v>
      </c>
      <c r="M154">
        <f t="shared" si="3"/>
        <v>3</v>
      </c>
    </row>
    <row r="155" spans="1:13" x14ac:dyDescent="0.25">
      <c r="A155" t="s">
        <v>354</v>
      </c>
      <c r="B155" t="s">
        <v>355</v>
      </c>
      <c r="C155">
        <v>75</v>
      </c>
      <c r="D155" t="s">
        <v>19</v>
      </c>
      <c r="E155" s="2">
        <v>45745</v>
      </c>
      <c r="F155" s="2">
        <v>45753</v>
      </c>
      <c r="G155" t="s">
        <v>61</v>
      </c>
      <c r="H155" t="s">
        <v>75</v>
      </c>
      <c r="I155" s="3">
        <v>12122.8</v>
      </c>
      <c r="J155" s="4">
        <v>80</v>
      </c>
      <c r="K155" t="s">
        <v>16</v>
      </c>
      <c r="L155" t="str" cm="1">
        <f t="array" ref="L155">_xlfn.IFS(C155&lt;18,"under 18",C155&lt;36,"btw 18 &amp; 35",C155&lt;51,"btw 36 &amp;50",C155&lt;66,"btw 51 &amp; 66",C155&gt;66,"66 &amp; above")</f>
        <v>66 &amp; above</v>
      </c>
      <c r="M155">
        <f t="shared" si="3"/>
        <v>8</v>
      </c>
    </row>
    <row r="156" spans="1:13" x14ac:dyDescent="0.25">
      <c r="A156" t="s">
        <v>356</v>
      </c>
      <c r="B156" t="s">
        <v>357</v>
      </c>
      <c r="C156">
        <v>48</v>
      </c>
      <c r="D156" t="s">
        <v>13</v>
      </c>
      <c r="E156" s="2">
        <v>45542</v>
      </c>
      <c r="F156" s="2">
        <v>45546</v>
      </c>
      <c r="G156" t="s">
        <v>71</v>
      </c>
      <c r="H156" t="s">
        <v>158</v>
      </c>
      <c r="I156" s="3">
        <v>6625.48</v>
      </c>
      <c r="J156" s="4">
        <v>60</v>
      </c>
      <c r="K156" t="s">
        <v>26</v>
      </c>
      <c r="L156" t="str" cm="1">
        <f t="array" ref="L156">_xlfn.IFS(C156&lt;18,"under 18",C156&lt;36,"btw 18 &amp; 35",C156&lt;51,"btw 36 &amp;50",C156&lt;66,"btw 51 &amp; 66",C156&gt;66,"66 &amp; above")</f>
        <v>btw 36 &amp;50</v>
      </c>
      <c r="M156">
        <f t="shared" si="3"/>
        <v>4</v>
      </c>
    </row>
    <row r="157" spans="1:13" x14ac:dyDescent="0.25">
      <c r="A157" t="s">
        <v>358</v>
      </c>
      <c r="B157" t="s">
        <v>359</v>
      </c>
      <c r="C157">
        <v>72</v>
      </c>
      <c r="D157" t="s">
        <v>13</v>
      </c>
      <c r="E157" s="2">
        <v>45496</v>
      </c>
      <c r="F157" s="2">
        <v>45505</v>
      </c>
      <c r="G157" t="s">
        <v>61</v>
      </c>
      <c r="H157" t="s">
        <v>78</v>
      </c>
      <c r="I157" s="3">
        <v>17423.45</v>
      </c>
      <c r="J157" s="4">
        <v>70</v>
      </c>
      <c r="K157" t="s">
        <v>26</v>
      </c>
      <c r="L157" t="str" cm="1">
        <f t="array" ref="L157">_xlfn.IFS(C157&lt;18,"under 18",C157&lt;36,"btw 18 &amp; 35",C157&lt;51,"btw 36 &amp;50",C157&lt;66,"btw 51 &amp; 66",C157&gt;66,"66 &amp; above")</f>
        <v>66 &amp; above</v>
      </c>
      <c r="M157">
        <f t="shared" si="3"/>
        <v>9</v>
      </c>
    </row>
    <row r="158" spans="1:13" x14ac:dyDescent="0.25">
      <c r="A158" t="s">
        <v>360</v>
      </c>
      <c r="B158" t="s">
        <v>361</v>
      </c>
      <c r="C158">
        <v>65</v>
      </c>
      <c r="D158" t="s">
        <v>13</v>
      </c>
      <c r="E158" s="2">
        <v>45469</v>
      </c>
      <c r="F158" s="2">
        <v>45478</v>
      </c>
      <c r="G158" t="s">
        <v>14</v>
      </c>
      <c r="H158" t="s">
        <v>20</v>
      </c>
      <c r="I158" s="3">
        <v>13753.53</v>
      </c>
      <c r="J158" s="4">
        <v>90</v>
      </c>
      <c r="K158" t="s">
        <v>21</v>
      </c>
      <c r="L158" t="str" cm="1">
        <f t="array" ref="L158">_xlfn.IFS(C158&lt;18,"under 18",C158&lt;36,"btw 18 &amp; 35",C158&lt;51,"btw 36 &amp;50",C158&lt;66,"btw 51 &amp; 66",C158&gt;66,"66 &amp; above")</f>
        <v>btw 51 &amp; 66</v>
      </c>
      <c r="M158">
        <f t="shared" si="3"/>
        <v>9</v>
      </c>
    </row>
    <row r="159" spans="1:13" x14ac:dyDescent="0.25">
      <c r="A159" t="s">
        <v>362</v>
      </c>
      <c r="B159" t="s">
        <v>251</v>
      </c>
      <c r="C159">
        <v>44</v>
      </c>
      <c r="D159" t="s">
        <v>13</v>
      </c>
      <c r="E159" s="2">
        <v>45926</v>
      </c>
      <c r="F159" s="2">
        <v>45936</v>
      </c>
      <c r="G159" t="s">
        <v>14</v>
      </c>
      <c r="H159" t="s">
        <v>15</v>
      </c>
      <c r="I159" s="3">
        <v>18100.37</v>
      </c>
      <c r="J159" s="4">
        <v>80</v>
      </c>
      <c r="K159" t="s">
        <v>16</v>
      </c>
      <c r="L159" t="str" cm="1">
        <f t="array" ref="L159">_xlfn.IFS(C159&lt;18,"under 18",C159&lt;36,"btw 18 &amp; 35",C159&lt;51,"btw 36 &amp;50",C159&lt;66,"btw 51 &amp; 66",C159&gt;66,"66 &amp; above")</f>
        <v>btw 36 &amp;50</v>
      </c>
      <c r="M159">
        <f t="shared" si="3"/>
        <v>10</v>
      </c>
    </row>
    <row r="160" spans="1:13" x14ac:dyDescent="0.25">
      <c r="A160" t="s">
        <v>363</v>
      </c>
      <c r="B160" t="s">
        <v>364</v>
      </c>
      <c r="C160">
        <v>48</v>
      </c>
      <c r="D160" t="s">
        <v>19</v>
      </c>
      <c r="E160" s="2">
        <v>45540</v>
      </c>
      <c r="F160" s="2">
        <v>45547</v>
      </c>
      <c r="G160" t="s">
        <v>61</v>
      </c>
      <c r="H160" t="s">
        <v>134</v>
      </c>
      <c r="I160" s="3">
        <v>16172.66</v>
      </c>
      <c r="J160" s="4">
        <v>70</v>
      </c>
      <c r="K160" t="s">
        <v>21</v>
      </c>
      <c r="L160" t="str" cm="1">
        <f t="array" ref="L160">_xlfn.IFS(C160&lt;18,"under 18",C160&lt;36,"btw 18 &amp; 35",C160&lt;51,"btw 36 &amp;50",C160&lt;66,"btw 51 &amp; 66",C160&gt;66,"66 &amp; above")</f>
        <v>btw 36 &amp;50</v>
      </c>
      <c r="M160">
        <f t="shared" si="3"/>
        <v>7</v>
      </c>
    </row>
    <row r="161" spans="1:13" x14ac:dyDescent="0.25">
      <c r="A161" t="s">
        <v>365</v>
      </c>
      <c r="B161" t="s">
        <v>366</v>
      </c>
      <c r="C161">
        <v>43</v>
      </c>
      <c r="D161" t="s">
        <v>19</v>
      </c>
      <c r="E161" s="2">
        <v>45514</v>
      </c>
      <c r="F161" s="2">
        <v>45521</v>
      </c>
      <c r="G161" t="s">
        <v>32</v>
      </c>
      <c r="H161" t="s">
        <v>45</v>
      </c>
      <c r="I161" s="3">
        <v>7133.08</v>
      </c>
      <c r="J161" s="4">
        <v>90</v>
      </c>
      <c r="K161" t="s">
        <v>21</v>
      </c>
      <c r="L161" t="str" cm="1">
        <f t="array" ref="L161">_xlfn.IFS(C161&lt;18,"under 18",C161&lt;36,"btw 18 &amp; 35",C161&lt;51,"btw 36 &amp;50",C161&lt;66,"btw 51 &amp; 66",C161&gt;66,"66 &amp; above")</f>
        <v>btw 36 &amp;50</v>
      </c>
      <c r="M161">
        <f t="shared" si="3"/>
        <v>7</v>
      </c>
    </row>
    <row r="162" spans="1:13" x14ac:dyDescent="0.25">
      <c r="A162" t="s">
        <v>367</v>
      </c>
      <c r="B162" t="s">
        <v>368</v>
      </c>
      <c r="C162">
        <v>48</v>
      </c>
      <c r="D162" t="s">
        <v>13</v>
      </c>
      <c r="E162" s="2">
        <v>46013</v>
      </c>
      <c r="F162" s="2">
        <v>46023</v>
      </c>
      <c r="G162" t="s">
        <v>14</v>
      </c>
      <c r="H162" t="s">
        <v>15</v>
      </c>
      <c r="I162" s="3">
        <v>27699.3</v>
      </c>
      <c r="J162" s="4">
        <v>50</v>
      </c>
      <c r="K162" t="s">
        <v>21</v>
      </c>
      <c r="L162" t="str" cm="1">
        <f t="array" ref="L162">_xlfn.IFS(C162&lt;18,"under 18",C162&lt;36,"btw 18 &amp; 35",C162&lt;51,"btw 36 &amp;50",C162&lt;66,"btw 51 &amp; 66",C162&gt;66,"66 &amp; above")</f>
        <v>btw 36 &amp;50</v>
      </c>
      <c r="M162">
        <f t="shared" si="3"/>
        <v>10</v>
      </c>
    </row>
    <row r="163" spans="1:13" x14ac:dyDescent="0.25">
      <c r="A163" t="s">
        <v>369</v>
      </c>
      <c r="B163" t="s">
        <v>370</v>
      </c>
      <c r="C163">
        <v>77</v>
      </c>
      <c r="D163" t="s">
        <v>13</v>
      </c>
      <c r="E163" s="2">
        <v>45475</v>
      </c>
      <c r="F163" s="2">
        <v>45476</v>
      </c>
      <c r="G163" t="s">
        <v>24</v>
      </c>
      <c r="H163" t="s">
        <v>25</v>
      </c>
      <c r="I163" s="3">
        <v>1403.37</v>
      </c>
      <c r="J163" s="4">
        <v>80</v>
      </c>
      <c r="K163" t="s">
        <v>21</v>
      </c>
      <c r="L163" t="str" cm="1">
        <f t="array" ref="L163">_xlfn.IFS(C163&lt;18,"under 18",C163&lt;36,"btw 18 &amp; 35",C163&lt;51,"btw 36 &amp;50",C163&lt;66,"btw 51 &amp; 66",C163&gt;66,"66 &amp; above")</f>
        <v>66 &amp; above</v>
      </c>
      <c r="M163">
        <f t="shared" si="3"/>
        <v>1</v>
      </c>
    </row>
    <row r="164" spans="1:13" x14ac:dyDescent="0.25">
      <c r="A164" t="s">
        <v>371</v>
      </c>
      <c r="B164" t="s">
        <v>349</v>
      </c>
      <c r="C164">
        <v>69</v>
      </c>
      <c r="D164" t="s">
        <v>19</v>
      </c>
      <c r="E164" s="2">
        <v>45417</v>
      </c>
      <c r="F164" s="2">
        <v>45420</v>
      </c>
      <c r="G164" t="s">
        <v>24</v>
      </c>
      <c r="H164" t="s">
        <v>205</v>
      </c>
      <c r="I164" s="3">
        <v>3350.67</v>
      </c>
      <c r="J164" s="4">
        <v>80</v>
      </c>
      <c r="K164" t="s">
        <v>21</v>
      </c>
      <c r="L164" t="str" cm="1">
        <f t="array" ref="L164">_xlfn.IFS(C164&lt;18,"under 18",C164&lt;36,"btw 18 &amp; 35",C164&lt;51,"btw 36 &amp;50",C164&lt;66,"btw 51 &amp; 66",C164&gt;66,"66 &amp; above")</f>
        <v>66 &amp; above</v>
      </c>
      <c r="M164">
        <f t="shared" si="3"/>
        <v>3</v>
      </c>
    </row>
    <row r="165" spans="1:13" x14ac:dyDescent="0.25">
      <c r="A165" t="s">
        <v>372</v>
      </c>
      <c r="B165" t="s">
        <v>373</v>
      </c>
      <c r="C165">
        <v>52</v>
      </c>
      <c r="D165" t="s">
        <v>19</v>
      </c>
      <c r="E165" s="2">
        <v>45324</v>
      </c>
      <c r="F165" s="2">
        <v>45326</v>
      </c>
      <c r="G165" t="s">
        <v>24</v>
      </c>
      <c r="H165" t="s">
        <v>205</v>
      </c>
      <c r="I165" s="3">
        <v>2922.92</v>
      </c>
      <c r="J165" s="4">
        <v>100</v>
      </c>
      <c r="K165" t="s">
        <v>21</v>
      </c>
      <c r="L165" t="str" cm="1">
        <f t="array" ref="L165">_xlfn.IFS(C165&lt;18,"under 18",C165&lt;36,"btw 18 &amp; 35",C165&lt;51,"btw 36 &amp;50",C165&lt;66,"btw 51 &amp; 66",C165&gt;66,"66 &amp; above")</f>
        <v>btw 51 &amp; 66</v>
      </c>
      <c r="M165">
        <f t="shared" si="3"/>
        <v>2</v>
      </c>
    </row>
    <row r="166" spans="1:13" x14ac:dyDescent="0.25">
      <c r="A166" t="s">
        <v>374</v>
      </c>
      <c r="B166" t="s">
        <v>375</v>
      </c>
      <c r="C166">
        <v>67</v>
      </c>
      <c r="D166" t="s">
        <v>19</v>
      </c>
      <c r="E166" s="2">
        <v>45617</v>
      </c>
      <c r="F166" s="2">
        <v>45619</v>
      </c>
      <c r="G166" t="s">
        <v>24</v>
      </c>
      <c r="H166" t="s">
        <v>205</v>
      </c>
      <c r="I166" s="3">
        <v>2127.71</v>
      </c>
      <c r="J166" s="4">
        <v>90</v>
      </c>
      <c r="K166" t="s">
        <v>26</v>
      </c>
      <c r="L166" t="str" cm="1">
        <f t="array" ref="L166">_xlfn.IFS(C166&lt;18,"under 18",C166&lt;36,"btw 18 &amp; 35",C166&lt;51,"btw 36 &amp;50",C166&lt;66,"btw 51 &amp; 66",C166&gt;66,"66 &amp; above")</f>
        <v>66 &amp; above</v>
      </c>
      <c r="M166">
        <f t="shared" si="3"/>
        <v>2</v>
      </c>
    </row>
    <row r="167" spans="1:13" x14ac:dyDescent="0.25">
      <c r="A167" t="s">
        <v>376</v>
      </c>
      <c r="B167" t="s">
        <v>221</v>
      </c>
      <c r="C167">
        <v>75</v>
      </c>
      <c r="D167" t="s">
        <v>19</v>
      </c>
      <c r="E167" s="2">
        <v>45913</v>
      </c>
      <c r="F167" s="2">
        <v>45922</v>
      </c>
      <c r="G167" t="s">
        <v>14</v>
      </c>
      <c r="H167" t="s">
        <v>166</v>
      </c>
      <c r="I167" s="3">
        <v>15507.09</v>
      </c>
      <c r="J167" s="4">
        <v>90</v>
      </c>
      <c r="K167" t="s">
        <v>16</v>
      </c>
      <c r="L167" t="str" cm="1">
        <f t="array" ref="L167">_xlfn.IFS(C167&lt;18,"under 18",C167&lt;36,"btw 18 &amp; 35",C167&lt;51,"btw 36 &amp;50",C167&lt;66,"btw 51 &amp; 66",C167&gt;66,"66 &amp; above")</f>
        <v>66 &amp; above</v>
      </c>
      <c r="M167">
        <f t="shared" si="3"/>
        <v>9</v>
      </c>
    </row>
    <row r="168" spans="1:13" x14ac:dyDescent="0.25">
      <c r="A168" t="s">
        <v>377</v>
      </c>
      <c r="B168" t="s">
        <v>378</v>
      </c>
      <c r="C168">
        <v>3</v>
      </c>
      <c r="D168" t="s">
        <v>13</v>
      </c>
      <c r="E168" s="2">
        <v>45884</v>
      </c>
      <c r="F168" s="2">
        <v>45886</v>
      </c>
      <c r="G168" t="s">
        <v>50</v>
      </c>
      <c r="H168" t="s">
        <v>379</v>
      </c>
      <c r="I168" s="3">
        <v>2767.57</v>
      </c>
      <c r="J168" s="4">
        <v>50</v>
      </c>
      <c r="K168" t="s">
        <v>16</v>
      </c>
      <c r="L168" t="str" cm="1">
        <f t="array" ref="L168">_xlfn.IFS(C168&lt;18,"under 18",C168&lt;36,"btw 18 &amp; 35",C168&lt;51,"btw 36 &amp;50",C168&lt;66,"btw 51 &amp; 66",C168&gt;66,"66 &amp; above")</f>
        <v>under 18</v>
      </c>
      <c r="M168">
        <f t="shared" si="3"/>
        <v>2</v>
      </c>
    </row>
    <row r="169" spans="1:13" x14ac:dyDescent="0.25">
      <c r="A169" t="s">
        <v>380</v>
      </c>
      <c r="B169" t="s">
        <v>381</v>
      </c>
      <c r="C169">
        <v>82</v>
      </c>
      <c r="D169" t="s">
        <v>19</v>
      </c>
      <c r="E169" s="2">
        <v>45869</v>
      </c>
      <c r="F169" s="2">
        <v>45870</v>
      </c>
      <c r="G169" t="s">
        <v>24</v>
      </c>
      <c r="H169" t="s">
        <v>25</v>
      </c>
      <c r="I169" s="3">
        <v>1998.09</v>
      </c>
      <c r="J169" s="4">
        <v>80</v>
      </c>
      <c r="K169" t="s">
        <v>16</v>
      </c>
      <c r="L169" t="str" cm="1">
        <f t="array" ref="L169">_xlfn.IFS(C169&lt;18,"under 18",C169&lt;36,"btw 18 &amp; 35",C169&lt;51,"btw 36 &amp;50",C169&lt;66,"btw 51 &amp; 66",C169&gt;66,"66 &amp; above")</f>
        <v>66 &amp; above</v>
      </c>
      <c r="M169">
        <f t="shared" si="3"/>
        <v>1</v>
      </c>
    </row>
    <row r="170" spans="1:13" x14ac:dyDescent="0.25">
      <c r="A170" t="s">
        <v>382</v>
      </c>
      <c r="B170" t="s">
        <v>383</v>
      </c>
      <c r="C170">
        <v>16</v>
      </c>
      <c r="D170" t="s">
        <v>19</v>
      </c>
      <c r="E170" s="2">
        <v>45748</v>
      </c>
      <c r="F170" s="2">
        <v>45753</v>
      </c>
      <c r="G170" t="s">
        <v>50</v>
      </c>
      <c r="H170" t="s">
        <v>131</v>
      </c>
      <c r="I170" s="3">
        <v>6351.72</v>
      </c>
      <c r="J170" s="4">
        <v>60</v>
      </c>
      <c r="K170" t="s">
        <v>16</v>
      </c>
      <c r="L170" t="str" cm="1">
        <f t="array" ref="L170">_xlfn.IFS(C170&lt;18,"under 18",C170&lt;36,"btw 18 &amp; 35",C170&lt;51,"btw 36 &amp;50",C170&lt;66,"btw 51 &amp; 66",C170&gt;66,"66 &amp; above")</f>
        <v>under 18</v>
      </c>
      <c r="M170">
        <f t="shared" si="3"/>
        <v>5</v>
      </c>
    </row>
    <row r="171" spans="1:13" x14ac:dyDescent="0.25">
      <c r="A171" t="s">
        <v>384</v>
      </c>
      <c r="B171" t="s">
        <v>385</v>
      </c>
      <c r="C171">
        <v>47</v>
      </c>
      <c r="D171" t="s">
        <v>13</v>
      </c>
      <c r="E171" s="2">
        <v>45697</v>
      </c>
      <c r="F171" s="2">
        <v>45699</v>
      </c>
      <c r="G171" t="s">
        <v>24</v>
      </c>
      <c r="H171" t="s">
        <v>42</v>
      </c>
      <c r="I171" s="3">
        <v>2177.35</v>
      </c>
      <c r="J171" s="4">
        <v>80</v>
      </c>
      <c r="K171" t="s">
        <v>16</v>
      </c>
      <c r="L171" t="str" cm="1">
        <f t="array" ref="L171">_xlfn.IFS(C171&lt;18,"under 18",C171&lt;36,"btw 18 &amp; 35",C171&lt;51,"btw 36 &amp;50",C171&lt;66,"btw 51 &amp; 66",C171&gt;66,"66 &amp; above")</f>
        <v>btw 36 &amp;50</v>
      </c>
      <c r="M171">
        <f t="shared" si="3"/>
        <v>2</v>
      </c>
    </row>
    <row r="172" spans="1:13" x14ac:dyDescent="0.25">
      <c r="A172" t="s">
        <v>386</v>
      </c>
      <c r="B172" t="s">
        <v>387</v>
      </c>
      <c r="C172">
        <v>52</v>
      </c>
      <c r="D172" t="s">
        <v>19</v>
      </c>
      <c r="E172" s="2">
        <v>45820</v>
      </c>
      <c r="F172" s="2">
        <v>45823</v>
      </c>
      <c r="G172" t="s">
        <v>14</v>
      </c>
      <c r="H172" t="s">
        <v>20</v>
      </c>
      <c r="I172" s="3">
        <v>4484.95</v>
      </c>
      <c r="J172" s="4">
        <v>80</v>
      </c>
      <c r="K172" t="s">
        <v>16</v>
      </c>
      <c r="L172" t="str" cm="1">
        <f t="array" ref="L172">_xlfn.IFS(C172&lt;18,"under 18",C172&lt;36,"btw 18 &amp; 35",C172&lt;51,"btw 36 &amp;50",C172&lt;66,"btw 51 &amp; 66",C172&gt;66,"66 &amp; above")</f>
        <v>btw 51 &amp; 66</v>
      </c>
      <c r="M172">
        <f t="shared" si="3"/>
        <v>3</v>
      </c>
    </row>
    <row r="173" spans="1:13" x14ac:dyDescent="0.25">
      <c r="A173" t="s">
        <v>388</v>
      </c>
      <c r="B173" t="s">
        <v>389</v>
      </c>
      <c r="C173">
        <v>81</v>
      </c>
      <c r="D173" t="s">
        <v>13</v>
      </c>
      <c r="E173" s="2">
        <v>45532</v>
      </c>
      <c r="F173" s="2">
        <v>45534</v>
      </c>
      <c r="G173" t="s">
        <v>24</v>
      </c>
      <c r="H173" t="s">
        <v>222</v>
      </c>
      <c r="I173" s="3">
        <v>3381.88</v>
      </c>
      <c r="J173" s="4">
        <v>90</v>
      </c>
      <c r="K173" t="s">
        <v>16</v>
      </c>
      <c r="L173" t="str" cm="1">
        <f t="array" ref="L173">_xlfn.IFS(C173&lt;18,"under 18",C173&lt;36,"btw 18 &amp; 35",C173&lt;51,"btw 36 &amp;50",C173&lt;66,"btw 51 &amp; 66",C173&gt;66,"66 &amp; above")</f>
        <v>66 &amp; above</v>
      </c>
      <c r="M173">
        <f t="shared" si="3"/>
        <v>2</v>
      </c>
    </row>
    <row r="174" spans="1:13" x14ac:dyDescent="0.25">
      <c r="A174" t="s">
        <v>390</v>
      </c>
      <c r="B174" t="s">
        <v>391</v>
      </c>
      <c r="C174">
        <v>60</v>
      </c>
      <c r="D174" t="s">
        <v>13</v>
      </c>
      <c r="E174" s="2">
        <v>45831</v>
      </c>
      <c r="F174" s="2">
        <v>45836</v>
      </c>
      <c r="G174" t="s">
        <v>61</v>
      </c>
      <c r="H174" t="s">
        <v>98</v>
      </c>
      <c r="I174" s="3">
        <v>11601.6</v>
      </c>
      <c r="J174" s="4">
        <v>70</v>
      </c>
      <c r="K174" t="s">
        <v>21</v>
      </c>
      <c r="L174" t="str" cm="1">
        <f t="array" ref="L174">_xlfn.IFS(C174&lt;18,"under 18",C174&lt;36,"btw 18 &amp; 35",C174&lt;51,"btw 36 &amp;50",C174&lt;66,"btw 51 &amp; 66",C174&gt;66,"66 &amp; above")</f>
        <v>btw 51 &amp; 66</v>
      </c>
      <c r="M174">
        <f t="shared" si="3"/>
        <v>5</v>
      </c>
    </row>
    <row r="175" spans="1:13" x14ac:dyDescent="0.25">
      <c r="A175" t="s">
        <v>392</v>
      </c>
      <c r="B175" t="s">
        <v>393</v>
      </c>
      <c r="C175">
        <v>82</v>
      </c>
      <c r="D175" t="s">
        <v>19</v>
      </c>
      <c r="E175" s="2">
        <v>45717</v>
      </c>
      <c r="F175" s="2">
        <v>45719</v>
      </c>
      <c r="G175" t="s">
        <v>24</v>
      </c>
      <c r="H175" t="s">
        <v>25</v>
      </c>
      <c r="I175" s="3">
        <v>2198.17</v>
      </c>
      <c r="J175" s="4">
        <v>90</v>
      </c>
      <c r="K175" t="s">
        <v>16</v>
      </c>
      <c r="L175" t="str" cm="1">
        <f t="array" ref="L175">_xlfn.IFS(C175&lt;18,"under 18",C175&lt;36,"btw 18 &amp; 35",C175&lt;51,"btw 36 &amp;50",C175&lt;66,"btw 51 &amp; 66",C175&gt;66,"66 &amp; above")</f>
        <v>66 &amp; above</v>
      </c>
      <c r="M175">
        <f t="shared" si="3"/>
        <v>2</v>
      </c>
    </row>
    <row r="176" spans="1:13" x14ac:dyDescent="0.25">
      <c r="A176" t="s">
        <v>394</v>
      </c>
      <c r="B176" t="s">
        <v>395</v>
      </c>
      <c r="C176">
        <v>34</v>
      </c>
      <c r="D176" t="s">
        <v>19</v>
      </c>
      <c r="E176" s="2">
        <v>45934</v>
      </c>
      <c r="F176" s="2">
        <v>45947</v>
      </c>
      <c r="G176" t="s">
        <v>61</v>
      </c>
      <c r="H176" t="s">
        <v>75</v>
      </c>
      <c r="I176" s="3">
        <v>35611.43</v>
      </c>
      <c r="J176" s="4">
        <v>70</v>
      </c>
      <c r="K176" t="s">
        <v>16</v>
      </c>
      <c r="L176" t="str" cm="1">
        <f t="array" ref="L176">_xlfn.IFS(C176&lt;18,"under 18",C176&lt;36,"btw 18 &amp; 35",C176&lt;51,"btw 36 &amp;50",C176&lt;66,"btw 51 &amp; 66",C176&gt;66,"66 &amp; above")</f>
        <v>btw 18 &amp; 35</v>
      </c>
      <c r="M176">
        <f t="shared" si="3"/>
        <v>13</v>
      </c>
    </row>
    <row r="177" spans="1:13" x14ac:dyDescent="0.25">
      <c r="A177" t="s">
        <v>396</v>
      </c>
      <c r="B177" t="s">
        <v>397</v>
      </c>
      <c r="C177">
        <v>55</v>
      </c>
      <c r="D177" t="s">
        <v>13</v>
      </c>
      <c r="E177" s="2">
        <v>45798</v>
      </c>
      <c r="F177" s="2">
        <v>45803</v>
      </c>
      <c r="G177" t="s">
        <v>14</v>
      </c>
      <c r="H177" t="s">
        <v>112</v>
      </c>
      <c r="I177" s="3">
        <v>8093.35</v>
      </c>
      <c r="J177" s="4">
        <v>100</v>
      </c>
      <c r="K177" t="s">
        <v>26</v>
      </c>
      <c r="L177" t="str" cm="1">
        <f t="array" ref="L177">_xlfn.IFS(C177&lt;18,"under 18",C177&lt;36,"btw 18 &amp; 35",C177&lt;51,"btw 36 &amp;50",C177&lt;66,"btw 51 &amp; 66",C177&gt;66,"66 &amp; above")</f>
        <v>btw 51 &amp; 66</v>
      </c>
      <c r="M177">
        <f t="shared" si="3"/>
        <v>5</v>
      </c>
    </row>
    <row r="178" spans="1:13" x14ac:dyDescent="0.25">
      <c r="A178" t="s">
        <v>398</v>
      </c>
      <c r="B178" t="s">
        <v>399</v>
      </c>
      <c r="C178">
        <v>69</v>
      </c>
      <c r="D178" t="s">
        <v>13</v>
      </c>
      <c r="E178" s="2">
        <v>45333</v>
      </c>
      <c r="F178" s="2">
        <v>45341</v>
      </c>
      <c r="G178" t="s">
        <v>71</v>
      </c>
      <c r="H178" t="s">
        <v>238</v>
      </c>
      <c r="I178" s="3">
        <v>15311.93</v>
      </c>
      <c r="J178" s="4">
        <v>60</v>
      </c>
      <c r="K178" t="s">
        <v>21</v>
      </c>
      <c r="L178" t="str" cm="1">
        <f t="array" ref="L178">_xlfn.IFS(C178&lt;18,"under 18",C178&lt;36,"btw 18 &amp; 35",C178&lt;51,"btw 36 &amp;50",C178&lt;66,"btw 51 &amp; 66",C178&gt;66,"66 &amp; above")</f>
        <v>66 &amp; above</v>
      </c>
      <c r="M178">
        <f t="shared" si="3"/>
        <v>8</v>
      </c>
    </row>
    <row r="179" spans="1:13" x14ac:dyDescent="0.25">
      <c r="A179" t="s">
        <v>400</v>
      </c>
      <c r="B179" t="s">
        <v>401</v>
      </c>
      <c r="C179">
        <v>59</v>
      </c>
      <c r="D179" t="s">
        <v>19</v>
      </c>
      <c r="E179" s="2">
        <v>45575</v>
      </c>
      <c r="F179" s="2">
        <v>45578</v>
      </c>
      <c r="G179" t="s">
        <v>24</v>
      </c>
      <c r="H179" t="s">
        <v>25</v>
      </c>
      <c r="I179" s="3">
        <v>4201.93</v>
      </c>
      <c r="J179" s="4">
        <v>80</v>
      </c>
      <c r="K179" t="s">
        <v>16</v>
      </c>
      <c r="L179" t="str" cm="1">
        <f t="array" ref="L179">_xlfn.IFS(C179&lt;18,"under 18",C179&lt;36,"btw 18 &amp; 35",C179&lt;51,"btw 36 &amp;50",C179&lt;66,"btw 51 &amp; 66",C179&gt;66,"66 &amp; above")</f>
        <v>btw 51 &amp; 66</v>
      </c>
      <c r="M179">
        <f t="shared" si="3"/>
        <v>3</v>
      </c>
    </row>
    <row r="180" spans="1:13" x14ac:dyDescent="0.25">
      <c r="A180" t="s">
        <v>402</v>
      </c>
      <c r="B180" t="s">
        <v>403</v>
      </c>
      <c r="C180">
        <v>51</v>
      </c>
      <c r="D180" t="s">
        <v>19</v>
      </c>
      <c r="E180" s="2">
        <v>45959</v>
      </c>
      <c r="F180" s="2">
        <v>45968</v>
      </c>
      <c r="G180" t="s">
        <v>61</v>
      </c>
      <c r="H180" t="s">
        <v>143</v>
      </c>
      <c r="I180" s="3">
        <v>12277.27</v>
      </c>
      <c r="J180" s="4">
        <v>90</v>
      </c>
      <c r="K180" t="s">
        <v>16</v>
      </c>
      <c r="L180" t="str" cm="1">
        <f t="array" ref="L180">_xlfn.IFS(C180&lt;18,"under 18",C180&lt;36,"btw 18 &amp; 35",C180&lt;51,"btw 36 &amp;50",C180&lt;66,"btw 51 &amp; 66",C180&gt;66,"66 &amp; above")</f>
        <v>btw 51 &amp; 66</v>
      </c>
      <c r="M180">
        <f t="shared" si="3"/>
        <v>9</v>
      </c>
    </row>
    <row r="181" spans="1:13" x14ac:dyDescent="0.25">
      <c r="A181" t="s">
        <v>404</v>
      </c>
      <c r="B181" t="s">
        <v>405</v>
      </c>
      <c r="C181">
        <v>7</v>
      </c>
      <c r="D181" t="s">
        <v>19</v>
      </c>
      <c r="E181" s="2">
        <v>45785</v>
      </c>
      <c r="F181" s="2">
        <v>45789</v>
      </c>
      <c r="G181" t="s">
        <v>50</v>
      </c>
      <c r="H181" t="s">
        <v>124</v>
      </c>
      <c r="I181" s="3">
        <v>4150.83</v>
      </c>
      <c r="J181" s="4">
        <v>70</v>
      </c>
      <c r="K181" t="s">
        <v>21</v>
      </c>
      <c r="L181" t="str" cm="1">
        <f t="array" ref="L181">_xlfn.IFS(C181&lt;18,"under 18",C181&lt;36,"btw 18 &amp; 35",C181&lt;51,"btw 36 &amp;50",C181&lt;66,"btw 51 &amp; 66",C181&gt;66,"66 &amp; above")</f>
        <v>under 18</v>
      </c>
      <c r="M181">
        <f t="shared" si="3"/>
        <v>4</v>
      </c>
    </row>
    <row r="182" spans="1:13" x14ac:dyDescent="0.25">
      <c r="A182" t="s">
        <v>406</v>
      </c>
      <c r="B182" t="s">
        <v>407</v>
      </c>
      <c r="C182">
        <v>27</v>
      </c>
      <c r="D182" t="s">
        <v>13</v>
      </c>
      <c r="E182" s="2">
        <v>45300</v>
      </c>
      <c r="F182" s="2">
        <v>45303</v>
      </c>
      <c r="G182" t="s">
        <v>32</v>
      </c>
      <c r="H182" t="s">
        <v>235</v>
      </c>
      <c r="I182" s="3">
        <v>2123.81</v>
      </c>
      <c r="J182" s="4">
        <v>100</v>
      </c>
      <c r="K182" t="s">
        <v>16</v>
      </c>
      <c r="L182" t="str" cm="1">
        <f t="array" ref="L182">_xlfn.IFS(C182&lt;18,"under 18",C182&lt;36,"btw 18 &amp; 35",C182&lt;51,"btw 36 &amp;50",C182&lt;66,"btw 51 &amp; 66",C182&gt;66,"66 &amp; above")</f>
        <v>btw 18 &amp; 35</v>
      </c>
      <c r="M182">
        <f t="shared" si="3"/>
        <v>3</v>
      </c>
    </row>
    <row r="183" spans="1:13" x14ac:dyDescent="0.25">
      <c r="A183" t="s">
        <v>408</v>
      </c>
      <c r="B183" t="s">
        <v>409</v>
      </c>
      <c r="C183">
        <v>56</v>
      </c>
      <c r="D183" t="s">
        <v>19</v>
      </c>
      <c r="E183" s="2">
        <v>45678</v>
      </c>
      <c r="F183" s="2">
        <v>45691</v>
      </c>
      <c r="G183" t="s">
        <v>61</v>
      </c>
      <c r="H183" t="s">
        <v>78</v>
      </c>
      <c r="I183" s="3">
        <v>29767.07</v>
      </c>
      <c r="J183" s="4">
        <v>80</v>
      </c>
      <c r="K183" t="s">
        <v>21</v>
      </c>
      <c r="L183" t="str" cm="1">
        <f t="array" ref="L183">_xlfn.IFS(C183&lt;18,"under 18",C183&lt;36,"btw 18 &amp; 35",C183&lt;51,"btw 36 &amp;50",C183&lt;66,"btw 51 &amp; 66",C183&gt;66,"66 &amp; above")</f>
        <v>btw 51 &amp; 66</v>
      </c>
      <c r="M183">
        <f t="shared" si="3"/>
        <v>13</v>
      </c>
    </row>
    <row r="184" spans="1:13" x14ac:dyDescent="0.25">
      <c r="A184" t="s">
        <v>410</v>
      </c>
      <c r="B184" t="s">
        <v>411</v>
      </c>
      <c r="C184">
        <v>8</v>
      </c>
      <c r="D184" t="s">
        <v>13</v>
      </c>
      <c r="E184" s="2">
        <v>45825</v>
      </c>
      <c r="F184" s="2">
        <v>45830</v>
      </c>
      <c r="G184" t="s">
        <v>50</v>
      </c>
      <c r="H184" t="s">
        <v>118</v>
      </c>
      <c r="I184" s="3">
        <v>5537.93</v>
      </c>
      <c r="J184" s="4">
        <v>90</v>
      </c>
      <c r="K184" t="s">
        <v>16</v>
      </c>
      <c r="L184" t="str" cm="1">
        <f t="array" ref="L184">_xlfn.IFS(C184&lt;18,"under 18",C184&lt;36,"btw 18 &amp; 35",C184&lt;51,"btw 36 &amp;50",C184&lt;66,"btw 51 &amp; 66",C184&gt;66,"66 &amp; above")</f>
        <v>under 18</v>
      </c>
      <c r="M184">
        <f t="shared" si="3"/>
        <v>5</v>
      </c>
    </row>
    <row r="185" spans="1:13" x14ac:dyDescent="0.25">
      <c r="A185" t="s">
        <v>412</v>
      </c>
      <c r="B185" t="s">
        <v>413</v>
      </c>
      <c r="C185">
        <v>77</v>
      </c>
      <c r="D185" t="s">
        <v>13</v>
      </c>
      <c r="E185" s="2">
        <v>45891</v>
      </c>
      <c r="F185" s="2">
        <v>45897</v>
      </c>
      <c r="G185" t="s">
        <v>32</v>
      </c>
      <c r="H185" t="s">
        <v>36</v>
      </c>
      <c r="I185" s="3">
        <v>7949.08</v>
      </c>
      <c r="J185" s="4">
        <v>60</v>
      </c>
      <c r="K185" t="s">
        <v>16</v>
      </c>
      <c r="L185" t="str" cm="1">
        <f t="array" ref="L185">_xlfn.IFS(C185&lt;18,"under 18",C185&lt;36,"btw 18 &amp; 35",C185&lt;51,"btw 36 &amp;50",C185&lt;66,"btw 51 &amp; 66",C185&gt;66,"66 &amp; above")</f>
        <v>66 &amp; above</v>
      </c>
      <c r="M185">
        <f t="shared" si="3"/>
        <v>6</v>
      </c>
    </row>
    <row r="186" spans="1:13" x14ac:dyDescent="0.25">
      <c r="A186" t="s">
        <v>414</v>
      </c>
      <c r="B186" t="s">
        <v>415</v>
      </c>
      <c r="C186">
        <v>3</v>
      </c>
      <c r="D186" t="s">
        <v>13</v>
      </c>
      <c r="E186" s="2">
        <v>45651</v>
      </c>
      <c r="F186" s="2">
        <v>45655</v>
      </c>
      <c r="G186" t="s">
        <v>50</v>
      </c>
      <c r="H186" t="s">
        <v>124</v>
      </c>
      <c r="I186" s="3">
        <v>6607.88</v>
      </c>
      <c r="J186" s="4">
        <v>70</v>
      </c>
      <c r="K186" t="s">
        <v>16</v>
      </c>
      <c r="L186" t="str" cm="1">
        <f t="array" ref="L186">_xlfn.IFS(C186&lt;18,"under 18",C186&lt;36,"btw 18 &amp; 35",C186&lt;51,"btw 36 &amp;50",C186&lt;66,"btw 51 &amp; 66",C186&gt;66,"66 &amp; above")</f>
        <v>under 18</v>
      </c>
      <c r="M186">
        <f t="shared" si="3"/>
        <v>4</v>
      </c>
    </row>
    <row r="187" spans="1:13" x14ac:dyDescent="0.25">
      <c r="A187" t="s">
        <v>416</v>
      </c>
      <c r="B187" t="s">
        <v>417</v>
      </c>
      <c r="C187">
        <v>12</v>
      </c>
      <c r="D187" t="s">
        <v>19</v>
      </c>
      <c r="E187" s="2">
        <v>45548</v>
      </c>
      <c r="F187" s="2">
        <v>45551</v>
      </c>
      <c r="G187" t="s">
        <v>50</v>
      </c>
      <c r="H187" t="s">
        <v>121</v>
      </c>
      <c r="I187" s="3">
        <v>4728.71</v>
      </c>
      <c r="J187" s="4">
        <v>50</v>
      </c>
      <c r="K187" t="s">
        <v>16</v>
      </c>
      <c r="L187" t="str" cm="1">
        <f t="array" ref="L187">_xlfn.IFS(C187&lt;18,"under 18",C187&lt;36,"btw 18 &amp; 35",C187&lt;51,"btw 36 &amp;50",C187&lt;66,"btw 51 &amp; 66",C187&gt;66,"66 &amp; above")</f>
        <v>under 18</v>
      </c>
      <c r="M187">
        <f t="shared" si="3"/>
        <v>3</v>
      </c>
    </row>
    <row r="188" spans="1:13" x14ac:dyDescent="0.25">
      <c r="A188" t="s">
        <v>418</v>
      </c>
      <c r="B188" t="s">
        <v>419</v>
      </c>
      <c r="C188">
        <v>83</v>
      </c>
      <c r="D188" t="s">
        <v>19</v>
      </c>
      <c r="E188" s="2">
        <v>45352</v>
      </c>
      <c r="F188" s="2">
        <v>45360</v>
      </c>
      <c r="G188" t="s">
        <v>14</v>
      </c>
      <c r="H188" t="s">
        <v>20</v>
      </c>
      <c r="I188" s="3">
        <v>15664.73</v>
      </c>
      <c r="J188" s="4">
        <v>80</v>
      </c>
      <c r="K188" t="s">
        <v>16</v>
      </c>
      <c r="L188" t="str" cm="1">
        <f t="array" ref="L188">_xlfn.IFS(C188&lt;18,"under 18",C188&lt;36,"btw 18 &amp; 35",C188&lt;51,"btw 36 &amp;50",C188&lt;66,"btw 51 &amp; 66",C188&gt;66,"66 &amp; above")</f>
        <v>66 &amp; above</v>
      </c>
      <c r="M188">
        <f t="shared" si="3"/>
        <v>8</v>
      </c>
    </row>
    <row r="189" spans="1:13" x14ac:dyDescent="0.25">
      <c r="A189" t="s">
        <v>420</v>
      </c>
      <c r="B189" t="s">
        <v>421</v>
      </c>
      <c r="C189">
        <v>53</v>
      </c>
      <c r="D189" t="s">
        <v>19</v>
      </c>
      <c r="E189" s="2">
        <v>45951</v>
      </c>
      <c r="F189" s="2">
        <v>45955</v>
      </c>
      <c r="G189" t="s">
        <v>32</v>
      </c>
      <c r="H189" t="s">
        <v>235</v>
      </c>
      <c r="I189" s="3">
        <v>2716.52</v>
      </c>
      <c r="J189" s="4">
        <v>0</v>
      </c>
      <c r="K189" t="s">
        <v>26</v>
      </c>
      <c r="L189" t="str" cm="1">
        <f t="array" ref="L189">_xlfn.IFS(C189&lt;18,"under 18",C189&lt;36,"btw 18 &amp; 35",C189&lt;51,"btw 36 &amp;50",C189&lt;66,"btw 51 &amp; 66",C189&gt;66,"66 &amp; above")</f>
        <v>btw 51 &amp; 66</v>
      </c>
      <c r="M189">
        <f t="shared" si="3"/>
        <v>4</v>
      </c>
    </row>
    <row r="190" spans="1:13" x14ac:dyDescent="0.25">
      <c r="A190" t="s">
        <v>422</v>
      </c>
      <c r="B190" t="s">
        <v>423</v>
      </c>
      <c r="C190">
        <v>29</v>
      </c>
      <c r="D190" t="s">
        <v>19</v>
      </c>
      <c r="E190" s="2">
        <v>45643</v>
      </c>
      <c r="F190" s="2">
        <v>45644</v>
      </c>
      <c r="G190" t="s">
        <v>32</v>
      </c>
      <c r="H190" t="s">
        <v>115</v>
      </c>
      <c r="I190" s="3">
        <v>716.18</v>
      </c>
      <c r="J190" s="4">
        <v>80</v>
      </c>
      <c r="K190" t="s">
        <v>16</v>
      </c>
      <c r="L190" t="str" cm="1">
        <f t="array" ref="L190">_xlfn.IFS(C190&lt;18,"under 18",C190&lt;36,"btw 18 &amp; 35",C190&lt;51,"btw 36 &amp;50",C190&lt;66,"btw 51 &amp; 66",C190&gt;66,"66 &amp; above")</f>
        <v>btw 18 &amp; 35</v>
      </c>
      <c r="M190">
        <f t="shared" si="3"/>
        <v>1</v>
      </c>
    </row>
    <row r="191" spans="1:13" x14ac:dyDescent="0.25">
      <c r="A191" t="s">
        <v>424</v>
      </c>
      <c r="B191" t="s">
        <v>347</v>
      </c>
      <c r="C191">
        <v>49</v>
      </c>
      <c r="D191" t="s">
        <v>19</v>
      </c>
      <c r="E191" s="2">
        <v>45738</v>
      </c>
      <c r="F191" s="2">
        <v>45741</v>
      </c>
      <c r="G191" t="s">
        <v>71</v>
      </c>
      <c r="H191" t="s">
        <v>158</v>
      </c>
      <c r="I191" s="3">
        <v>3478.78</v>
      </c>
      <c r="J191" s="4">
        <v>80</v>
      </c>
      <c r="K191" t="s">
        <v>16</v>
      </c>
      <c r="L191" t="str" cm="1">
        <f t="array" ref="L191">_xlfn.IFS(C191&lt;18,"under 18",C191&lt;36,"btw 18 &amp; 35",C191&lt;51,"btw 36 &amp;50",C191&lt;66,"btw 51 &amp; 66",C191&gt;66,"66 &amp; above")</f>
        <v>btw 36 &amp;50</v>
      </c>
      <c r="M191">
        <f t="shared" si="3"/>
        <v>3</v>
      </c>
    </row>
    <row r="192" spans="1:13" x14ac:dyDescent="0.25">
      <c r="A192" t="s">
        <v>425</v>
      </c>
      <c r="B192" t="s">
        <v>426</v>
      </c>
      <c r="C192">
        <v>48</v>
      </c>
      <c r="D192" t="s">
        <v>19</v>
      </c>
      <c r="E192" s="2">
        <v>45979</v>
      </c>
      <c r="F192" s="2">
        <v>45985</v>
      </c>
      <c r="G192" t="s">
        <v>32</v>
      </c>
      <c r="H192" t="s">
        <v>54</v>
      </c>
      <c r="I192" s="3">
        <v>3693.12</v>
      </c>
      <c r="J192" s="4">
        <v>100</v>
      </c>
      <c r="K192" t="s">
        <v>21</v>
      </c>
      <c r="L192" t="str" cm="1">
        <f t="array" ref="L192">_xlfn.IFS(C192&lt;18,"under 18",C192&lt;36,"btw 18 &amp; 35",C192&lt;51,"btw 36 &amp;50",C192&lt;66,"btw 51 &amp; 66",C192&gt;66,"66 &amp; above")</f>
        <v>btw 36 &amp;50</v>
      </c>
      <c r="M192">
        <f t="shared" si="3"/>
        <v>6</v>
      </c>
    </row>
    <row r="193" spans="1:13" x14ac:dyDescent="0.25">
      <c r="A193" t="s">
        <v>427</v>
      </c>
      <c r="B193" t="s">
        <v>428</v>
      </c>
      <c r="C193">
        <v>80</v>
      </c>
      <c r="D193" t="s">
        <v>19</v>
      </c>
      <c r="E193" s="2">
        <v>45362</v>
      </c>
      <c r="F193" s="2">
        <v>45363</v>
      </c>
      <c r="G193" t="s">
        <v>32</v>
      </c>
      <c r="H193" t="s">
        <v>115</v>
      </c>
      <c r="I193" s="3">
        <v>1441.21</v>
      </c>
      <c r="J193" s="4">
        <v>0</v>
      </c>
      <c r="K193" t="s">
        <v>16</v>
      </c>
      <c r="L193" t="str" cm="1">
        <f t="array" ref="L193">_xlfn.IFS(C193&lt;18,"under 18",C193&lt;36,"btw 18 &amp; 35",C193&lt;51,"btw 36 &amp;50",C193&lt;66,"btw 51 &amp; 66",C193&gt;66,"66 &amp; above")</f>
        <v>66 &amp; above</v>
      </c>
      <c r="M193">
        <f t="shared" si="3"/>
        <v>1</v>
      </c>
    </row>
    <row r="194" spans="1:13" x14ac:dyDescent="0.25">
      <c r="A194" t="s">
        <v>429</v>
      </c>
      <c r="B194" t="s">
        <v>430</v>
      </c>
      <c r="C194">
        <v>52</v>
      </c>
      <c r="D194" t="s">
        <v>19</v>
      </c>
      <c r="E194" s="2">
        <v>45639</v>
      </c>
      <c r="F194" s="2">
        <v>45645</v>
      </c>
      <c r="G194" t="s">
        <v>32</v>
      </c>
      <c r="H194" t="s">
        <v>115</v>
      </c>
      <c r="I194" s="3">
        <v>8378.4500000000007</v>
      </c>
      <c r="J194" s="4">
        <v>70</v>
      </c>
      <c r="K194" t="s">
        <v>21</v>
      </c>
      <c r="L194" t="str" cm="1">
        <f t="array" ref="L194">_xlfn.IFS(C194&lt;18,"under 18",C194&lt;36,"btw 18 &amp; 35",C194&lt;51,"btw 36 &amp;50",C194&lt;66,"btw 51 &amp; 66",C194&gt;66,"66 &amp; above")</f>
        <v>btw 51 &amp; 66</v>
      </c>
      <c r="M194">
        <f t="shared" si="3"/>
        <v>6</v>
      </c>
    </row>
    <row r="195" spans="1:13" x14ac:dyDescent="0.25">
      <c r="A195" t="s">
        <v>431</v>
      </c>
      <c r="B195" t="s">
        <v>432</v>
      </c>
      <c r="C195">
        <v>77</v>
      </c>
      <c r="D195" t="s">
        <v>19</v>
      </c>
      <c r="E195" s="2">
        <v>45585</v>
      </c>
      <c r="F195" s="2">
        <v>45595</v>
      </c>
      <c r="G195" t="s">
        <v>14</v>
      </c>
      <c r="H195" t="s">
        <v>15</v>
      </c>
      <c r="I195" s="3">
        <v>16501.419999999998</v>
      </c>
      <c r="J195" s="4">
        <v>50</v>
      </c>
      <c r="K195" t="s">
        <v>16</v>
      </c>
      <c r="L195" t="str" cm="1">
        <f t="array" ref="L195">_xlfn.IFS(C195&lt;18,"under 18",C195&lt;36,"btw 18 &amp; 35",C195&lt;51,"btw 36 &amp;50",C195&lt;66,"btw 51 &amp; 66",C195&gt;66,"66 &amp; above")</f>
        <v>66 &amp; above</v>
      </c>
      <c r="M195">
        <f t="shared" ref="M195:M258" si="4">AVERAGE(F195-E195)</f>
        <v>10</v>
      </c>
    </row>
    <row r="196" spans="1:13" x14ac:dyDescent="0.25">
      <c r="A196" t="s">
        <v>433</v>
      </c>
      <c r="B196" t="s">
        <v>434</v>
      </c>
      <c r="C196">
        <v>53</v>
      </c>
      <c r="D196" t="s">
        <v>19</v>
      </c>
      <c r="E196" s="2">
        <v>45798</v>
      </c>
      <c r="F196" s="2">
        <v>45807</v>
      </c>
      <c r="G196" t="s">
        <v>14</v>
      </c>
      <c r="H196" t="s">
        <v>103</v>
      </c>
      <c r="I196" s="3">
        <v>18430.509999999998</v>
      </c>
      <c r="J196" s="4">
        <v>100</v>
      </c>
      <c r="K196" t="s">
        <v>16</v>
      </c>
      <c r="L196" t="str" cm="1">
        <f t="array" ref="L196">_xlfn.IFS(C196&lt;18,"under 18",C196&lt;36,"btw 18 &amp; 35",C196&lt;51,"btw 36 &amp;50",C196&lt;66,"btw 51 &amp; 66",C196&gt;66,"66 &amp; above")</f>
        <v>btw 51 &amp; 66</v>
      </c>
      <c r="M196">
        <f t="shared" si="4"/>
        <v>9</v>
      </c>
    </row>
    <row r="197" spans="1:13" x14ac:dyDescent="0.25">
      <c r="A197" t="s">
        <v>435</v>
      </c>
      <c r="B197" t="s">
        <v>436</v>
      </c>
      <c r="C197">
        <v>42</v>
      </c>
      <c r="D197" t="s">
        <v>13</v>
      </c>
      <c r="E197" s="2">
        <v>45550</v>
      </c>
      <c r="F197" s="2">
        <v>45553</v>
      </c>
      <c r="G197" t="s">
        <v>32</v>
      </c>
      <c r="H197" t="s">
        <v>88</v>
      </c>
      <c r="I197" s="3">
        <v>1567.15</v>
      </c>
      <c r="J197" s="4">
        <v>80</v>
      </c>
      <c r="K197" t="s">
        <v>26</v>
      </c>
      <c r="L197" t="str" cm="1">
        <f t="array" ref="L197">_xlfn.IFS(C197&lt;18,"under 18",C197&lt;36,"btw 18 &amp; 35",C197&lt;51,"btw 36 &amp;50",C197&lt;66,"btw 51 &amp; 66",C197&gt;66,"66 &amp; above")</f>
        <v>btw 36 &amp;50</v>
      </c>
      <c r="M197">
        <f t="shared" si="4"/>
        <v>3</v>
      </c>
    </row>
    <row r="198" spans="1:13" x14ac:dyDescent="0.25">
      <c r="A198" t="s">
        <v>437</v>
      </c>
      <c r="B198" t="s">
        <v>204</v>
      </c>
      <c r="C198">
        <v>61</v>
      </c>
      <c r="D198" t="s">
        <v>19</v>
      </c>
      <c r="E198" s="2">
        <v>45545</v>
      </c>
      <c r="F198" s="2">
        <v>45546</v>
      </c>
      <c r="G198" t="s">
        <v>24</v>
      </c>
      <c r="H198" t="s">
        <v>42</v>
      </c>
      <c r="I198" s="3">
        <v>917.44</v>
      </c>
      <c r="J198" s="4">
        <v>80</v>
      </c>
      <c r="K198" t="s">
        <v>16</v>
      </c>
      <c r="L198" t="str" cm="1">
        <f t="array" ref="L198">_xlfn.IFS(C198&lt;18,"under 18",C198&lt;36,"btw 18 &amp; 35",C198&lt;51,"btw 36 &amp;50",C198&lt;66,"btw 51 &amp; 66",C198&gt;66,"66 &amp; above")</f>
        <v>btw 51 &amp; 66</v>
      </c>
      <c r="M198">
        <f t="shared" si="4"/>
        <v>1</v>
      </c>
    </row>
    <row r="199" spans="1:13" x14ac:dyDescent="0.25">
      <c r="A199" t="s">
        <v>438</v>
      </c>
      <c r="B199" t="s">
        <v>133</v>
      </c>
      <c r="C199">
        <v>81</v>
      </c>
      <c r="D199" t="s">
        <v>19</v>
      </c>
      <c r="E199" s="2">
        <v>45994</v>
      </c>
      <c r="F199" s="2">
        <v>46003</v>
      </c>
      <c r="G199" t="s">
        <v>14</v>
      </c>
      <c r="H199" t="s">
        <v>103</v>
      </c>
      <c r="I199" s="3">
        <v>18345.38</v>
      </c>
      <c r="J199" s="4">
        <v>80</v>
      </c>
      <c r="K199" t="s">
        <v>21</v>
      </c>
      <c r="L199" t="str" cm="1">
        <f t="array" ref="L199">_xlfn.IFS(C199&lt;18,"under 18",C199&lt;36,"btw 18 &amp; 35",C199&lt;51,"btw 36 &amp;50",C199&lt;66,"btw 51 &amp; 66",C199&gt;66,"66 &amp; above")</f>
        <v>66 &amp; above</v>
      </c>
      <c r="M199">
        <f t="shared" si="4"/>
        <v>9</v>
      </c>
    </row>
    <row r="200" spans="1:13" x14ac:dyDescent="0.25">
      <c r="A200" t="s">
        <v>439</v>
      </c>
      <c r="B200" t="s">
        <v>440</v>
      </c>
      <c r="C200">
        <v>53</v>
      </c>
      <c r="D200" t="s">
        <v>19</v>
      </c>
      <c r="E200" s="2">
        <v>45626</v>
      </c>
      <c r="F200" s="2">
        <v>45635</v>
      </c>
      <c r="G200" t="s">
        <v>71</v>
      </c>
      <c r="H200" t="s">
        <v>72</v>
      </c>
      <c r="I200" s="3">
        <v>19211.240000000002</v>
      </c>
      <c r="J200" s="4">
        <v>90</v>
      </c>
      <c r="K200" t="s">
        <v>16</v>
      </c>
      <c r="L200" t="str" cm="1">
        <f t="array" ref="L200">_xlfn.IFS(C200&lt;18,"under 18",C200&lt;36,"btw 18 &amp; 35",C200&lt;51,"btw 36 &amp;50",C200&lt;66,"btw 51 &amp; 66",C200&gt;66,"66 &amp; above")</f>
        <v>btw 51 &amp; 66</v>
      </c>
      <c r="M200">
        <f t="shared" si="4"/>
        <v>9</v>
      </c>
    </row>
    <row r="201" spans="1:13" x14ac:dyDescent="0.25">
      <c r="A201" t="s">
        <v>441</v>
      </c>
      <c r="B201" t="s">
        <v>442</v>
      </c>
      <c r="C201">
        <v>48</v>
      </c>
      <c r="D201" t="s">
        <v>13</v>
      </c>
      <c r="E201" s="2">
        <v>45805</v>
      </c>
      <c r="F201" s="2">
        <v>45809</v>
      </c>
      <c r="G201" t="s">
        <v>14</v>
      </c>
      <c r="H201" t="s">
        <v>20</v>
      </c>
      <c r="I201" s="3">
        <v>10336.58</v>
      </c>
      <c r="J201" s="4">
        <v>100</v>
      </c>
      <c r="K201" t="s">
        <v>16</v>
      </c>
      <c r="L201" t="str" cm="1">
        <f t="array" ref="L201">_xlfn.IFS(C201&lt;18,"under 18",C201&lt;36,"btw 18 &amp; 35",C201&lt;51,"btw 36 &amp;50",C201&lt;66,"btw 51 &amp; 66",C201&gt;66,"66 &amp; above")</f>
        <v>btw 36 &amp;50</v>
      </c>
      <c r="M201">
        <f t="shared" si="4"/>
        <v>4</v>
      </c>
    </row>
    <row r="202" spans="1:13" x14ac:dyDescent="0.25">
      <c r="A202" t="s">
        <v>443</v>
      </c>
      <c r="B202" t="s">
        <v>444</v>
      </c>
      <c r="C202">
        <v>64</v>
      </c>
      <c r="D202" t="s">
        <v>19</v>
      </c>
      <c r="E202" s="2">
        <v>45705</v>
      </c>
      <c r="F202" s="2">
        <v>45712</v>
      </c>
      <c r="G202" t="s">
        <v>32</v>
      </c>
      <c r="H202" t="s">
        <v>235</v>
      </c>
      <c r="I202" s="3">
        <v>4926.12</v>
      </c>
      <c r="J202" s="4">
        <v>70</v>
      </c>
      <c r="K202" t="s">
        <v>21</v>
      </c>
      <c r="L202" t="str" cm="1">
        <f t="array" ref="L202">_xlfn.IFS(C202&lt;18,"under 18",C202&lt;36,"btw 18 &amp; 35",C202&lt;51,"btw 36 &amp;50",C202&lt;66,"btw 51 &amp; 66",C202&gt;66,"66 &amp; above")</f>
        <v>btw 51 &amp; 66</v>
      </c>
      <c r="M202">
        <f t="shared" si="4"/>
        <v>7</v>
      </c>
    </row>
    <row r="203" spans="1:13" x14ac:dyDescent="0.25">
      <c r="A203" t="s">
        <v>445</v>
      </c>
      <c r="B203" t="s">
        <v>446</v>
      </c>
      <c r="C203">
        <v>80</v>
      </c>
      <c r="D203" t="s">
        <v>19</v>
      </c>
      <c r="E203" s="2">
        <v>45491</v>
      </c>
      <c r="F203" s="2">
        <v>45497</v>
      </c>
      <c r="G203" t="s">
        <v>71</v>
      </c>
      <c r="H203" t="s">
        <v>296</v>
      </c>
      <c r="I203" s="3">
        <v>13102.72</v>
      </c>
      <c r="J203" s="4">
        <v>50</v>
      </c>
      <c r="K203" t="s">
        <v>21</v>
      </c>
      <c r="L203" t="str" cm="1">
        <f t="array" ref="L203">_xlfn.IFS(C203&lt;18,"under 18",C203&lt;36,"btw 18 &amp; 35",C203&lt;51,"btw 36 &amp;50",C203&lt;66,"btw 51 &amp; 66",C203&gt;66,"66 &amp; above")</f>
        <v>66 &amp; above</v>
      </c>
      <c r="M203">
        <f t="shared" si="4"/>
        <v>6</v>
      </c>
    </row>
    <row r="204" spans="1:13" x14ac:dyDescent="0.25">
      <c r="A204" t="s">
        <v>447</v>
      </c>
      <c r="B204" t="s">
        <v>448</v>
      </c>
      <c r="C204">
        <v>56</v>
      </c>
      <c r="D204" t="s">
        <v>13</v>
      </c>
      <c r="E204" s="2">
        <v>45355</v>
      </c>
      <c r="F204" s="2">
        <v>45362</v>
      </c>
      <c r="G204" t="s">
        <v>32</v>
      </c>
      <c r="H204" t="s">
        <v>36</v>
      </c>
      <c r="I204" s="3">
        <v>4595.79</v>
      </c>
      <c r="J204" s="4">
        <v>80</v>
      </c>
      <c r="K204" t="s">
        <v>16</v>
      </c>
      <c r="L204" t="str" cm="1">
        <f t="array" ref="L204">_xlfn.IFS(C204&lt;18,"under 18",C204&lt;36,"btw 18 &amp; 35",C204&lt;51,"btw 36 &amp;50",C204&lt;66,"btw 51 &amp; 66",C204&gt;66,"66 &amp; above")</f>
        <v>btw 51 &amp; 66</v>
      </c>
      <c r="M204">
        <f t="shared" si="4"/>
        <v>7</v>
      </c>
    </row>
    <row r="205" spans="1:13" x14ac:dyDescent="0.25">
      <c r="A205" t="s">
        <v>449</v>
      </c>
      <c r="B205" t="s">
        <v>450</v>
      </c>
      <c r="C205">
        <v>63</v>
      </c>
      <c r="D205" t="s">
        <v>13</v>
      </c>
      <c r="E205" s="2">
        <v>45625</v>
      </c>
      <c r="F205" s="2">
        <v>45628</v>
      </c>
      <c r="G205" t="s">
        <v>24</v>
      </c>
      <c r="H205" t="s">
        <v>205</v>
      </c>
      <c r="I205" s="3">
        <v>3717.61</v>
      </c>
      <c r="J205" s="4">
        <v>90</v>
      </c>
      <c r="K205" t="s">
        <v>21</v>
      </c>
      <c r="L205" t="str" cm="1">
        <f t="array" ref="L205">_xlfn.IFS(C205&lt;18,"under 18",C205&lt;36,"btw 18 &amp; 35",C205&lt;51,"btw 36 &amp;50",C205&lt;66,"btw 51 &amp; 66",C205&gt;66,"66 &amp; above")</f>
        <v>btw 51 &amp; 66</v>
      </c>
      <c r="M205">
        <f t="shared" si="4"/>
        <v>3</v>
      </c>
    </row>
    <row r="206" spans="1:13" x14ac:dyDescent="0.25">
      <c r="A206" t="s">
        <v>451</v>
      </c>
      <c r="B206" t="s">
        <v>452</v>
      </c>
      <c r="C206">
        <v>43</v>
      </c>
      <c r="D206" t="s">
        <v>13</v>
      </c>
      <c r="E206" s="2">
        <v>46012</v>
      </c>
      <c r="F206" s="2">
        <v>46025</v>
      </c>
      <c r="G206" t="s">
        <v>61</v>
      </c>
      <c r="H206" t="s">
        <v>98</v>
      </c>
      <c r="I206" s="3">
        <v>33810.44</v>
      </c>
      <c r="J206" s="4">
        <v>90</v>
      </c>
      <c r="K206" t="s">
        <v>16</v>
      </c>
      <c r="L206" t="str" cm="1">
        <f t="array" ref="L206">_xlfn.IFS(C206&lt;18,"under 18",C206&lt;36,"btw 18 &amp; 35",C206&lt;51,"btw 36 &amp;50",C206&lt;66,"btw 51 &amp; 66",C206&gt;66,"66 &amp; above")</f>
        <v>btw 36 &amp;50</v>
      </c>
      <c r="M206">
        <f t="shared" si="4"/>
        <v>13</v>
      </c>
    </row>
    <row r="207" spans="1:13" x14ac:dyDescent="0.25">
      <c r="A207" t="s">
        <v>453</v>
      </c>
      <c r="B207" t="s">
        <v>355</v>
      </c>
      <c r="C207">
        <v>8</v>
      </c>
      <c r="D207" t="s">
        <v>19</v>
      </c>
      <c r="E207" s="2">
        <v>45660</v>
      </c>
      <c r="F207" s="2">
        <v>45664</v>
      </c>
      <c r="G207" t="s">
        <v>50</v>
      </c>
      <c r="H207" t="s">
        <v>118</v>
      </c>
      <c r="I207" s="3">
        <v>4115.83</v>
      </c>
      <c r="J207" s="4">
        <v>50</v>
      </c>
      <c r="K207" t="s">
        <v>16</v>
      </c>
      <c r="L207" t="str" cm="1">
        <f t="array" ref="L207">_xlfn.IFS(C207&lt;18,"under 18",C207&lt;36,"btw 18 &amp; 35",C207&lt;51,"btw 36 &amp;50",C207&lt;66,"btw 51 &amp; 66",C207&gt;66,"66 &amp; above")</f>
        <v>under 18</v>
      </c>
      <c r="M207">
        <f t="shared" si="4"/>
        <v>4</v>
      </c>
    </row>
    <row r="208" spans="1:13" x14ac:dyDescent="0.25">
      <c r="A208" t="s">
        <v>454</v>
      </c>
      <c r="B208" t="s">
        <v>455</v>
      </c>
      <c r="C208">
        <v>56</v>
      </c>
      <c r="D208" t="s">
        <v>19</v>
      </c>
      <c r="E208" s="2">
        <v>45748</v>
      </c>
      <c r="F208" s="2">
        <v>45754</v>
      </c>
      <c r="G208" t="s">
        <v>32</v>
      </c>
      <c r="H208" t="s">
        <v>36</v>
      </c>
      <c r="I208" s="3">
        <v>8245.4599999999991</v>
      </c>
      <c r="J208" s="4">
        <v>50</v>
      </c>
      <c r="K208" t="s">
        <v>26</v>
      </c>
      <c r="L208" t="str" cm="1">
        <f t="array" ref="L208">_xlfn.IFS(C208&lt;18,"under 18",C208&lt;36,"btw 18 &amp; 35",C208&lt;51,"btw 36 &amp;50",C208&lt;66,"btw 51 &amp; 66",C208&gt;66,"66 &amp; above")</f>
        <v>btw 51 &amp; 66</v>
      </c>
      <c r="M208">
        <f t="shared" si="4"/>
        <v>6</v>
      </c>
    </row>
    <row r="209" spans="1:13" x14ac:dyDescent="0.25">
      <c r="A209" t="s">
        <v>456</v>
      </c>
      <c r="B209" t="s">
        <v>457</v>
      </c>
      <c r="C209">
        <v>11</v>
      </c>
      <c r="D209" t="s">
        <v>13</v>
      </c>
      <c r="E209" s="2">
        <v>45704</v>
      </c>
      <c r="F209" s="2">
        <v>45709</v>
      </c>
      <c r="G209" t="s">
        <v>50</v>
      </c>
      <c r="H209" t="s">
        <v>51</v>
      </c>
      <c r="I209" s="3">
        <v>7654.55</v>
      </c>
      <c r="J209" s="4">
        <v>100</v>
      </c>
      <c r="K209" t="s">
        <v>16</v>
      </c>
      <c r="L209" t="str" cm="1">
        <f t="array" ref="L209">_xlfn.IFS(C209&lt;18,"under 18",C209&lt;36,"btw 18 &amp; 35",C209&lt;51,"btw 36 &amp;50",C209&lt;66,"btw 51 &amp; 66",C209&gt;66,"66 &amp; above")</f>
        <v>under 18</v>
      </c>
      <c r="M209">
        <f t="shared" si="4"/>
        <v>5</v>
      </c>
    </row>
    <row r="210" spans="1:13" x14ac:dyDescent="0.25">
      <c r="A210" t="s">
        <v>458</v>
      </c>
      <c r="B210" t="s">
        <v>459</v>
      </c>
      <c r="C210">
        <v>52</v>
      </c>
      <c r="D210" t="s">
        <v>13</v>
      </c>
      <c r="E210" s="2">
        <v>45706</v>
      </c>
      <c r="F210" s="2">
        <v>45710</v>
      </c>
      <c r="G210" t="s">
        <v>71</v>
      </c>
      <c r="H210" t="s">
        <v>158</v>
      </c>
      <c r="I210" s="3">
        <v>7167.44</v>
      </c>
      <c r="J210" s="4">
        <v>80</v>
      </c>
      <c r="K210" t="s">
        <v>16</v>
      </c>
      <c r="L210" t="str" cm="1">
        <f t="array" ref="L210">_xlfn.IFS(C210&lt;18,"under 18",C210&lt;36,"btw 18 &amp; 35",C210&lt;51,"btw 36 &amp;50",C210&lt;66,"btw 51 &amp; 66",C210&gt;66,"66 &amp; above")</f>
        <v>btw 51 &amp; 66</v>
      </c>
      <c r="M210">
        <f t="shared" si="4"/>
        <v>4</v>
      </c>
    </row>
    <row r="211" spans="1:13" x14ac:dyDescent="0.25">
      <c r="A211" t="s">
        <v>460</v>
      </c>
      <c r="B211" t="s">
        <v>461</v>
      </c>
      <c r="C211">
        <v>53</v>
      </c>
      <c r="D211" t="s">
        <v>19</v>
      </c>
      <c r="E211" s="2">
        <v>45809</v>
      </c>
      <c r="F211" s="2">
        <v>45811</v>
      </c>
      <c r="G211" t="s">
        <v>24</v>
      </c>
      <c r="H211" t="s">
        <v>25</v>
      </c>
      <c r="I211" s="3">
        <v>2556.12</v>
      </c>
      <c r="J211" s="4">
        <v>80</v>
      </c>
      <c r="K211" t="s">
        <v>16</v>
      </c>
      <c r="L211" t="str" cm="1">
        <f t="array" ref="L211">_xlfn.IFS(C211&lt;18,"under 18",C211&lt;36,"btw 18 &amp; 35",C211&lt;51,"btw 36 &amp;50",C211&lt;66,"btw 51 &amp; 66",C211&gt;66,"66 &amp; above")</f>
        <v>btw 51 &amp; 66</v>
      </c>
      <c r="M211">
        <f t="shared" si="4"/>
        <v>2</v>
      </c>
    </row>
    <row r="212" spans="1:13" x14ac:dyDescent="0.25">
      <c r="A212" t="s">
        <v>462</v>
      </c>
      <c r="B212" t="s">
        <v>397</v>
      </c>
      <c r="C212">
        <v>3</v>
      </c>
      <c r="D212" t="s">
        <v>13</v>
      </c>
      <c r="E212" s="2">
        <v>45509</v>
      </c>
      <c r="F212" s="2">
        <v>45512</v>
      </c>
      <c r="G212" t="s">
        <v>50</v>
      </c>
      <c r="H212" t="s">
        <v>124</v>
      </c>
      <c r="I212" s="3">
        <v>3139.43</v>
      </c>
      <c r="J212" s="4">
        <v>80</v>
      </c>
      <c r="K212" t="s">
        <v>16</v>
      </c>
      <c r="L212" t="str" cm="1">
        <f t="array" ref="L212">_xlfn.IFS(C212&lt;18,"under 18",C212&lt;36,"btw 18 &amp; 35",C212&lt;51,"btw 36 &amp;50",C212&lt;66,"btw 51 &amp; 66",C212&gt;66,"66 &amp; above")</f>
        <v>under 18</v>
      </c>
      <c r="M212">
        <f t="shared" si="4"/>
        <v>3</v>
      </c>
    </row>
    <row r="213" spans="1:13" x14ac:dyDescent="0.25">
      <c r="A213" t="s">
        <v>463</v>
      </c>
      <c r="B213" t="s">
        <v>464</v>
      </c>
      <c r="C213">
        <v>84</v>
      </c>
      <c r="D213" t="s">
        <v>13</v>
      </c>
      <c r="E213" s="2">
        <v>45731</v>
      </c>
      <c r="F213" s="2">
        <v>45732</v>
      </c>
      <c r="G213" t="s">
        <v>24</v>
      </c>
      <c r="H213" t="s">
        <v>25</v>
      </c>
      <c r="I213" s="3">
        <v>1893.98</v>
      </c>
      <c r="J213" s="4">
        <v>90</v>
      </c>
      <c r="K213" t="s">
        <v>16</v>
      </c>
      <c r="L213" t="str" cm="1">
        <f t="array" ref="L213">_xlfn.IFS(C213&lt;18,"under 18",C213&lt;36,"btw 18 &amp; 35",C213&lt;51,"btw 36 &amp;50",C213&lt;66,"btw 51 &amp; 66",C213&gt;66,"66 &amp; above")</f>
        <v>66 &amp; above</v>
      </c>
      <c r="M213">
        <f t="shared" si="4"/>
        <v>1</v>
      </c>
    </row>
    <row r="214" spans="1:13" x14ac:dyDescent="0.25">
      <c r="A214" t="s">
        <v>465</v>
      </c>
      <c r="B214" t="s">
        <v>409</v>
      </c>
      <c r="C214">
        <v>32</v>
      </c>
      <c r="D214" t="s">
        <v>19</v>
      </c>
      <c r="E214" s="2">
        <v>45834</v>
      </c>
      <c r="F214" s="2">
        <v>45840</v>
      </c>
      <c r="G214" t="s">
        <v>71</v>
      </c>
      <c r="H214" t="s">
        <v>158</v>
      </c>
      <c r="I214" s="3">
        <v>11663.48</v>
      </c>
      <c r="J214" s="4">
        <v>0</v>
      </c>
      <c r="K214" t="s">
        <v>21</v>
      </c>
      <c r="L214" t="str" cm="1">
        <f t="array" ref="L214">_xlfn.IFS(C214&lt;18,"under 18",C214&lt;36,"btw 18 &amp; 35",C214&lt;51,"btw 36 &amp;50",C214&lt;66,"btw 51 &amp; 66",C214&gt;66,"66 &amp; above")</f>
        <v>btw 18 &amp; 35</v>
      </c>
      <c r="M214">
        <f t="shared" si="4"/>
        <v>6</v>
      </c>
    </row>
    <row r="215" spans="1:13" x14ac:dyDescent="0.25">
      <c r="A215" t="s">
        <v>466</v>
      </c>
      <c r="B215" t="s">
        <v>467</v>
      </c>
      <c r="C215">
        <v>39</v>
      </c>
      <c r="D215" t="s">
        <v>19</v>
      </c>
      <c r="E215" s="2">
        <v>45541</v>
      </c>
      <c r="F215" s="2">
        <v>45544</v>
      </c>
      <c r="G215" t="s">
        <v>32</v>
      </c>
      <c r="H215" t="s">
        <v>115</v>
      </c>
      <c r="I215" s="3">
        <v>1596.88</v>
      </c>
      <c r="J215" s="4">
        <v>50</v>
      </c>
      <c r="K215" t="s">
        <v>26</v>
      </c>
      <c r="L215" t="str" cm="1">
        <f t="array" ref="L215">_xlfn.IFS(C215&lt;18,"under 18",C215&lt;36,"btw 18 &amp; 35",C215&lt;51,"btw 36 &amp;50",C215&lt;66,"btw 51 &amp; 66",C215&gt;66,"66 &amp; above")</f>
        <v>btw 36 &amp;50</v>
      </c>
      <c r="M215">
        <f t="shared" si="4"/>
        <v>3</v>
      </c>
    </row>
    <row r="216" spans="1:13" x14ac:dyDescent="0.25">
      <c r="A216" t="s">
        <v>468</v>
      </c>
      <c r="B216" t="s">
        <v>469</v>
      </c>
      <c r="C216">
        <v>49</v>
      </c>
      <c r="D216" t="s">
        <v>19</v>
      </c>
      <c r="E216" s="2">
        <v>45508</v>
      </c>
      <c r="F216" s="2">
        <v>45513</v>
      </c>
      <c r="G216" t="s">
        <v>32</v>
      </c>
      <c r="H216" t="s">
        <v>45</v>
      </c>
      <c r="I216" s="3">
        <v>4111.79</v>
      </c>
      <c r="J216" s="4">
        <v>80</v>
      </c>
      <c r="K216" t="s">
        <v>16</v>
      </c>
      <c r="L216" t="str" cm="1">
        <f t="array" ref="L216">_xlfn.IFS(C216&lt;18,"under 18",C216&lt;36,"btw 18 &amp; 35",C216&lt;51,"btw 36 &amp;50",C216&lt;66,"btw 51 &amp; 66",C216&gt;66,"66 &amp; above")</f>
        <v>btw 36 &amp;50</v>
      </c>
      <c r="M216">
        <f t="shared" si="4"/>
        <v>5</v>
      </c>
    </row>
    <row r="217" spans="1:13" x14ac:dyDescent="0.25">
      <c r="A217" t="s">
        <v>470</v>
      </c>
      <c r="B217" t="s">
        <v>471</v>
      </c>
      <c r="C217">
        <v>28</v>
      </c>
      <c r="D217" t="s">
        <v>13</v>
      </c>
      <c r="E217" s="2">
        <v>45375</v>
      </c>
      <c r="F217" s="2">
        <v>45378</v>
      </c>
      <c r="G217" t="s">
        <v>24</v>
      </c>
      <c r="H217" t="s">
        <v>25</v>
      </c>
      <c r="I217" s="3">
        <v>6606.32</v>
      </c>
      <c r="J217" s="4">
        <v>80</v>
      </c>
      <c r="K217" t="s">
        <v>16</v>
      </c>
      <c r="L217" t="str" cm="1">
        <f t="array" ref="L217">_xlfn.IFS(C217&lt;18,"under 18",C217&lt;36,"btw 18 &amp; 35",C217&lt;51,"btw 36 &amp;50",C217&lt;66,"btw 51 &amp; 66",C217&gt;66,"66 &amp; above")</f>
        <v>btw 18 &amp; 35</v>
      </c>
      <c r="M217">
        <f t="shared" si="4"/>
        <v>3</v>
      </c>
    </row>
    <row r="218" spans="1:13" x14ac:dyDescent="0.25">
      <c r="A218" t="s">
        <v>472</v>
      </c>
      <c r="B218" t="s">
        <v>473</v>
      </c>
      <c r="C218">
        <v>53</v>
      </c>
      <c r="D218" t="s">
        <v>19</v>
      </c>
      <c r="E218" s="2">
        <v>45541</v>
      </c>
      <c r="F218" s="2">
        <v>45553</v>
      </c>
      <c r="G218" t="s">
        <v>71</v>
      </c>
      <c r="H218" t="s">
        <v>296</v>
      </c>
      <c r="I218" s="3">
        <v>31197</v>
      </c>
      <c r="J218" s="4">
        <v>80</v>
      </c>
      <c r="K218" t="s">
        <v>21</v>
      </c>
      <c r="L218" t="str" cm="1">
        <f t="array" ref="L218">_xlfn.IFS(C218&lt;18,"under 18",C218&lt;36,"btw 18 &amp; 35",C218&lt;51,"btw 36 &amp;50",C218&lt;66,"btw 51 &amp; 66",C218&gt;66,"66 &amp; above")</f>
        <v>btw 51 &amp; 66</v>
      </c>
      <c r="M218">
        <f t="shared" si="4"/>
        <v>12</v>
      </c>
    </row>
    <row r="219" spans="1:13" x14ac:dyDescent="0.25">
      <c r="A219" t="s">
        <v>474</v>
      </c>
      <c r="B219" t="s">
        <v>475</v>
      </c>
      <c r="C219">
        <v>46</v>
      </c>
      <c r="D219" t="s">
        <v>13</v>
      </c>
      <c r="E219" s="2">
        <v>45658</v>
      </c>
      <c r="F219" s="2">
        <v>45668</v>
      </c>
      <c r="G219" t="s">
        <v>14</v>
      </c>
      <c r="H219" t="s">
        <v>20</v>
      </c>
      <c r="I219" s="3">
        <v>23891.3</v>
      </c>
      <c r="J219" s="4">
        <v>90</v>
      </c>
      <c r="K219" t="s">
        <v>16</v>
      </c>
      <c r="L219" t="str" cm="1">
        <f t="array" ref="L219">_xlfn.IFS(C219&lt;18,"under 18",C219&lt;36,"btw 18 &amp; 35",C219&lt;51,"btw 36 &amp;50",C219&lt;66,"btw 51 &amp; 66",C219&gt;66,"66 &amp; above")</f>
        <v>btw 36 &amp;50</v>
      </c>
      <c r="M219">
        <f t="shared" si="4"/>
        <v>10</v>
      </c>
    </row>
    <row r="220" spans="1:13" x14ac:dyDescent="0.25">
      <c r="A220" t="s">
        <v>476</v>
      </c>
      <c r="B220" t="s">
        <v>477</v>
      </c>
      <c r="C220">
        <v>66</v>
      </c>
      <c r="D220" t="s">
        <v>13</v>
      </c>
      <c r="E220" s="2">
        <v>45978</v>
      </c>
      <c r="F220" s="2">
        <v>45988</v>
      </c>
      <c r="G220" t="s">
        <v>14</v>
      </c>
      <c r="H220" t="s">
        <v>112</v>
      </c>
      <c r="I220" s="3">
        <v>18293.13</v>
      </c>
      <c r="J220" s="4">
        <v>60</v>
      </c>
      <c r="K220" t="s">
        <v>26</v>
      </c>
      <c r="L220" t="e" cm="1">
        <f t="array" ref="L220">_xlfn.IFS(C220&lt;18,"under 18",C220&lt;36,"btw 18 &amp; 35",C220&lt;51,"btw 36 &amp;50",C220&lt;66,"btw 51 &amp; 66",C220&gt;66,"66 &amp; above")</f>
        <v>#N/A</v>
      </c>
      <c r="M220">
        <f t="shared" si="4"/>
        <v>10</v>
      </c>
    </row>
    <row r="221" spans="1:13" x14ac:dyDescent="0.25">
      <c r="A221" t="s">
        <v>478</v>
      </c>
      <c r="B221" t="s">
        <v>479</v>
      </c>
      <c r="C221">
        <v>28</v>
      </c>
      <c r="D221" t="s">
        <v>19</v>
      </c>
      <c r="E221" s="2">
        <v>45524</v>
      </c>
      <c r="F221" s="2">
        <v>45527</v>
      </c>
      <c r="G221" t="s">
        <v>24</v>
      </c>
      <c r="H221" t="s">
        <v>205</v>
      </c>
      <c r="I221" s="3">
        <v>7364.68</v>
      </c>
      <c r="J221" s="4">
        <v>70</v>
      </c>
      <c r="K221" t="s">
        <v>21</v>
      </c>
      <c r="L221" t="str" cm="1">
        <f t="array" ref="L221">_xlfn.IFS(C221&lt;18,"under 18",C221&lt;36,"btw 18 &amp; 35",C221&lt;51,"btw 36 &amp;50",C221&lt;66,"btw 51 &amp; 66",C221&gt;66,"66 &amp; above")</f>
        <v>btw 18 &amp; 35</v>
      </c>
      <c r="M221">
        <f t="shared" si="4"/>
        <v>3</v>
      </c>
    </row>
    <row r="222" spans="1:13" x14ac:dyDescent="0.25">
      <c r="A222" t="s">
        <v>480</v>
      </c>
      <c r="B222" t="s">
        <v>481</v>
      </c>
      <c r="C222">
        <v>3</v>
      </c>
      <c r="D222" t="s">
        <v>19</v>
      </c>
      <c r="E222" s="2">
        <v>45469</v>
      </c>
      <c r="F222" s="2">
        <v>45471</v>
      </c>
      <c r="G222" t="s">
        <v>50</v>
      </c>
      <c r="H222" t="s">
        <v>51</v>
      </c>
      <c r="I222" s="3">
        <v>2403.02</v>
      </c>
      <c r="J222" s="4">
        <v>80</v>
      </c>
      <c r="K222" t="s">
        <v>16</v>
      </c>
      <c r="L222" t="str" cm="1">
        <f t="array" ref="L222">_xlfn.IFS(C222&lt;18,"under 18",C222&lt;36,"btw 18 &amp; 35",C222&lt;51,"btw 36 &amp;50",C222&lt;66,"btw 51 &amp; 66",C222&gt;66,"66 &amp; above")</f>
        <v>under 18</v>
      </c>
      <c r="M222">
        <f t="shared" si="4"/>
        <v>2</v>
      </c>
    </row>
    <row r="223" spans="1:13" x14ac:dyDescent="0.25">
      <c r="A223" t="s">
        <v>482</v>
      </c>
      <c r="B223" t="s">
        <v>483</v>
      </c>
      <c r="C223">
        <v>68</v>
      </c>
      <c r="D223" t="s">
        <v>13</v>
      </c>
      <c r="E223" s="2">
        <v>45990</v>
      </c>
      <c r="F223" s="2">
        <v>46000</v>
      </c>
      <c r="G223" t="s">
        <v>71</v>
      </c>
      <c r="H223" t="s">
        <v>95</v>
      </c>
      <c r="I223" s="3">
        <v>22054.65</v>
      </c>
      <c r="J223" s="4">
        <v>80</v>
      </c>
      <c r="K223" t="s">
        <v>21</v>
      </c>
      <c r="L223" t="str" cm="1">
        <f t="array" ref="L223">_xlfn.IFS(C223&lt;18,"under 18",C223&lt;36,"btw 18 &amp; 35",C223&lt;51,"btw 36 &amp;50",C223&lt;66,"btw 51 &amp; 66",C223&gt;66,"66 &amp; above")</f>
        <v>66 &amp; above</v>
      </c>
      <c r="M223">
        <f t="shared" si="4"/>
        <v>10</v>
      </c>
    </row>
    <row r="224" spans="1:13" x14ac:dyDescent="0.25">
      <c r="A224" t="s">
        <v>484</v>
      </c>
      <c r="B224" t="s">
        <v>485</v>
      </c>
      <c r="C224">
        <v>40</v>
      </c>
      <c r="D224" t="s">
        <v>13</v>
      </c>
      <c r="E224" s="2">
        <v>46013</v>
      </c>
      <c r="F224" s="2">
        <v>46018</v>
      </c>
      <c r="G224" t="s">
        <v>32</v>
      </c>
      <c r="H224" t="s">
        <v>45</v>
      </c>
      <c r="I224" s="3">
        <v>6331.28</v>
      </c>
      <c r="J224" s="4">
        <v>80</v>
      </c>
      <c r="K224" t="s">
        <v>26</v>
      </c>
      <c r="L224" t="str" cm="1">
        <f t="array" ref="L224">_xlfn.IFS(C224&lt;18,"under 18",C224&lt;36,"btw 18 &amp; 35",C224&lt;51,"btw 36 &amp;50",C224&lt;66,"btw 51 &amp; 66",C224&gt;66,"66 &amp; above")</f>
        <v>btw 36 &amp;50</v>
      </c>
      <c r="M224">
        <f t="shared" si="4"/>
        <v>5</v>
      </c>
    </row>
    <row r="225" spans="1:13" x14ac:dyDescent="0.25">
      <c r="A225" t="s">
        <v>486</v>
      </c>
      <c r="B225" t="s">
        <v>487</v>
      </c>
      <c r="C225">
        <v>63</v>
      </c>
      <c r="D225" t="s">
        <v>13</v>
      </c>
      <c r="E225" s="2">
        <v>45574</v>
      </c>
      <c r="F225" s="2">
        <v>45584</v>
      </c>
      <c r="G225" t="s">
        <v>14</v>
      </c>
      <c r="H225" t="s">
        <v>166</v>
      </c>
      <c r="I225" s="3">
        <v>27345.03</v>
      </c>
      <c r="J225" s="4">
        <v>100</v>
      </c>
      <c r="K225" t="s">
        <v>21</v>
      </c>
      <c r="L225" t="str" cm="1">
        <f t="array" ref="L225">_xlfn.IFS(C225&lt;18,"under 18",C225&lt;36,"btw 18 &amp; 35",C225&lt;51,"btw 36 &amp;50",C225&lt;66,"btw 51 &amp; 66",C225&gt;66,"66 &amp; above")</f>
        <v>btw 51 &amp; 66</v>
      </c>
      <c r="M225">
        <f t="shared" si="4"/>
        <v>10</v>
      </c>
    </row>
    <row r="226" spans="1:13" x14ac:dyDescent="0.25">
      <c r="A226" t="s">
        <v>488</v>
      </c>
      <c r="B226" t="s">
        <v>489</v>
      </c>
      <c r="C226">
        <v>44</v>
      </c>
      <c r="D226" t="s">
        <v>19</v>
      </c>
      <c r="E226" s="2">
        <v>45414</v>
      </c>
      <c r="F226" s="2">
        <v>45422</v>
      </c>
      <c r="G226" t="s">
        <v>61</v>
      </c>
      <c r="H226" t="s">
        <v>62</v>
      </c>
      <c r="I226" s="3">
        <v>11435.94</v>
      </c>
      <c r="J226" s="4">
        <v>90</v>
      </c>
      <c r="K226" t="s">
        <v>16</v>
      </c>
      <c r="L226" t="str" cm="1">
        <f t="array" ref="L226">_xlfn.IFS(C226&lt;18,"under 18",C226&lt;36,"btw 18 &amp; 35",C226&lt;51,"btw 36 &amp;50",C226&lt;66,"btw 51 &amp; 66",C226&gt;66,"66 &amp; above")</f>
        <v>btw 36 &amp;50</v>
      </c>
      <c r="M226">
        <f t="shared" si="4"/>
        <v>8</v>
      </c>
    </row>
    <row r="227" spans="1:13" x14ac:dyDescent="0.25">
      <c r="A227" t="s">
        <v>490</v>
      </c>
      <c r="B227" t="s">
        <v>491</v>
      </c>
      <c r="C227">
        <v>70</v>
      </c>
      <c r="D227" t="s">
        <v>13</v>
      </c>
      <c r="E227" s="2">
        <v>45553</v>
      </c>
      <c r="F227" s="2">
        <v>45554</v>
      </c>
      <c r="G227" t="s">
        <v>24</v>
      </c>
      <c r="H227" t="s">
        <v>334</v>
      </c>
      <c r="I227" s="3">
        <v>859.95</v>
      </c>
      <c r="J227" s="4">
        <v>60</v>
      </c>
      <c r="K227" t="s">
        <v>21</v>
      </c>
      <c r="L227" t="str" cm="1">
        <f t="array" ref="L227">_xlfn.IFS(C227&lt;18,"under 18",C227&lt;36,"btw 18 &amp; 35",C227&lt;51,"btw 36 &amp;50",C227&lt;66,"btw 51 &amp; 66",C227&gt;66,"66 &amp; above")</f>
        <v>66 &amp; above</v>
      </c>
      <c r="M227">
        <f t="shared" si="4"/>
        <v>1</v>
      </c>
    </row>
    <row r="228" spans="1:13" x14ac:dyDescent="0.25">
      <c r="A228" t="s">
        <v>492</v>
      </c>
      <c r="B228" t="s">
        <v>493</v>
      </c>
      <c r="C228">
        <v>1</v>
      </c>
      <c r="D228" t="s">
        <v>13</v>
      </c>
      <c r="E228" s="2">
        <v>45400</v>
      </c>
      <c r="F228" s="2">
        <v>45403</v>
      </c>
      <c r="G228" t="s">
        <v>50</v>
      </c>
      <c r="H228" t="s">
        <v>121</v>
      </c>
      <c r="I228" s="3">
        <v>2590.21</v>
      </c>
      <c r="J228" s="4">
        <v>90</v>
      </c>
      <c r="K228" t="s">
        <v>21</v>
      </c>
      <c r="L228" t="str" cm="1">
        <f t="array" ref="L228">_xlfn.IFS(C228&lt;18,"under 18",C228&lt;36,"btw 18 &amp; 35",C228&lt;51,"btw 36 &amp;50",C228&lt;66,"btw 51 &amp; 66",C228&gt;66,"66 &amp; above")</f>
        <v>under 18</v>
      </c>
      <c r="M228">
        <f t="shared" si="4"/>
        <v>3</v>
      </c>
    </row>
    <row r="229" spans="1:13" x14ac:dyDescent="0.25">
      <c r="A229" t="s">
        <v>494</v>
      </c>
      <c r="B229" t="s">
        <v>18</v>
      </c>
      <c r="C229">
        <v>48</v>
      </c>
      <c r="D229" t="s">
        <v>19</v>
      </c>
      <c r="E229" s="2">
        <v>45864</v>
      </c>
      <c r="F229" s="2">
        <v>45865</v>
      </c>
      <c r="G229" t="s">
        <v>32</v>
      </c>
      <c r="H229" t="s">
        <v>45</v>
      </c>
      <c r="I229" s="3">
        <v>791.92</v>
      </c>
      <c r="J229" s="4">
        <v>50</v>
      </c>
      <c r="K229" t="s">
        <v>26</v>
      </c>
      <c r="L229" t="str" cm="1">
        <f t="array" ref="L229">_xlfn.IFS(C229&lt;18,"under 18",C229&lt;36,"btw 18 &amp; 35",C229&lt;51,"btw 36 &amp;50",C229&lt;66,"btw 51 &amp; 66",C229&gt;66,"66 &amp; above")</f>
        <v>btw 36 &amp;50</v>
      </c>
      <c r="M229">
        <f t="shared" si="4"/>
        <v>1</v>
      </c>
    </row>
    <row r="230" spans="1:13" x14ac:dyDescent="0.25">
      <c r="A230" t="s">
        <v>495</v>
      </c>
      <c r="B230" t="s">
        <v>182</v>
      </c>
      <c r="C230">
        <v>48</v>
      </c>
      <c r="D230" t="s">
        <v>19</v>
      </c>
      <c r="E230" s="2">
        <v>45514</v>
      </c>
      <c r="F230" s="2">
        <v>45517</v>
      </c>
      <c r="G230" t="s">
        <v>24</v>
      </c>
      <c r="H230" t="s">
        <v>222</v>
      </c>
      <c r="I230" s="3">
        <v>3524.43</v>
      </c>
      <c r="J230" s="4">
        <v>80</v>
      </c>
      <c r="K230" t="s">
        <v>16</v>
      </c>
      <c r="L230" t="str" cm="1">
        <f t="array" ref="L230">_xlfn.IFS(C230&lt;18,"under 18",C230&lt;36,"btw 18 &amp; 35",C230&lt;51,"btw 36 &amp;50",C230&lt;66,"btw 51 &amp; 66",C230&gt;66,"66 &amp; above")</f>
        <v>btw 36 &amp;50</v>
      </c>
      <c r="M230">
        <f t="shared" si="4"/>
        <v>3</v>
      </c>
    </row>
    <row r="231" spans="1:13" x14ac:dyDescent="0.25">
      <c r="A231" t="s">
        <v>496</v>
      </c>
      <c r="B231" t="s">
        <v>497</v>
      </c>
      <c r="C231">
        <v>43</v>
      </c>
      <c r="D231" t="s">
        <v>13</v>
      </c>
      <c r="E231" s="2">
        <v>45455</v>
      </c>
      <c r="F231" s="2">
        <v>45457</v>
      </c>
      <c r="G231" t="s">
        <v>61</v>
      </c>
      <c r="H231" t="s">
        <v>98</v>
      </c>
      <c r="I231" s="3">
        <v>4464.59</v>
      </c>
      <c r="J231" s="4">
        <v>0</v>
      </c>
      <c r="K231" t="s">
        <v>26</v>
      </c>
      <c r="L231" t="str" cm="1">
        <f t="array" ref="L231">_xlfn.IFS(C231&lt;18,"under 18",C231&lt;36,"btw 18 &amp; 35",C231&lt;51,"btw 36 &amp;50",C231&lt;66,"btw 51 &amp; 66",C231&gt;66,"66 &amp; above")</f>
        <v>btw 36 &amp;50</v>
      </c>
      <c r="M231">
        <f t="shared" si="4"/>
        <v>2</v>
      </c>
    </row>
    <row r="232" spans="1:13" x14ac:dyDescent="0.25">
      <c r="A232" t="s">
        <v>498</v>
      </c>
      <c r="B232" t="s">
        <v>499</v>
      </c>
      <c r="C232">
        <v>24</v>
      </c>
      <c r="D232" t="s">
        <v>19</v>
      </c>
      <c r="E232" s="2">
        <v>45370</v>
      </c>
      <c r="F232" s="2">
        <v>45373</v>
      </c>
      <c r="G232" t="s">
        <v>24</v>
      </c>
      <c r="H232" t="s">
        <v>334</v>
      </c>
      <c r="I232" s="3">
        <v>4867.6099999999997</v>
      </c>
      <c r="J232" s="4">
        <v>70</v>
      </c>
      <c r="K232" t="s">
        <v>16</v>
      </c>
      <c r="L232" t="str" cm="1">
        <f t="array" ref="L232">_xlfn.IFS(C232&lt;18,"under 18",C232&lt;36,"btw 18 &amp; 35",C232&lt;51,"btw 36 &amp;50",C232&lt;66,"btw 51 &amp; 66",C232&gt;66,"66 &amp; above")</f>
        <v>btw 18 &amp; 35</v>
      </c>
      <c r="M232">
        <f t="shared" si="4"/>
        <v>3</v>
      </c>
    </row>
    <row r="233" spans="1:13" x14ac:dyDescent="0.25">
      <c r="A233" t="s">
        <v>500</v>
      </c>
      <c r="B233" t="s">
        <v>501</v>
      </c>
      <c r="C233">
        <v>41</v>
      </c>
      <c r="D233" t="s">
        <v>13</v>
      </c>
      <c r="E233" s="2">
        <v>45605</v>
      </c>
      <c r="F233" s="2">
        <v>45609</v>
      </c>
      <c r="G233" t="s">
        <v>14</v>
      </c>
      <c r="H233" t="s">
        <v>166</v>
      </c>
      <c r="I233" s="3">
        <v>5584.74</v>
      </c>
      <c r="J233" s="4">
        <v>100</v>
      </c>
      <c r="K233" t="s">
        <v>16</v>
      </c>
      <c r="L233" t="str" cm="1">
        <f t="array" ref="L233">_xlfn.IFS(C233&lt;18,"under 18",C233&lt;36,"btw 18 &amp; 35",C233&lt;51,"btw 36 &amp;50",C233&lt;66,"btw 51 &amp; 66",C233&gt;66,"66 &amp; above")</f>
        <v>btw 36 &amp;50</v>
      </c>
      <c r="M233">
        <f t="shared" si="4"/>
        <v>4</v>
      </c>
    </row>
    <row r="234" spans="1:13" x14ac:dyDescent="0.25">
      <c r="A234" t="s">
        <v>502</v>
      </c>
      <c r="B234" t="s">
        <v>503</v>
      </c>
      <c r="C234">
        <v>51</v>
      </c>
      <c r="D234" t="s">
        <v>19</v>
      </c>
      <c r="E234" s="2">
        <v>45782</v>
      </c>
      <c r="F234" s="2">
        <v>45784</v>
      </c>
      <c r="G234" t="s">
        <v>24</v>
      </c>
      <c r="H234" t="s">
        <v>25</v>
      </c>
      <c r="I234" s="3">
        <v>4718.74</v>
      </c>
      <c r="J234" s="4">
        <v>80</v>
      </c>
      <c r="K234" t="s">
        <v>21</v>
      </c>
      <c r="L234" t="str" cm="1">
        <f t="array" ref="L234">_xlfn.IFS(C234&lt;18,"under 18",C234&lt;36,"btw 18 &amp; 35",C234&lt;51,"btw 36 &amp;50",C234&lt;66,"btw 51 &amp; 66",C234&gt;66,"66 &amp; above")</f>
        <v>btw 51 &amp; 66</v>
      </c>
      <c r="M234">
        <f t="shared" si="4"/>
        <v>2</v>
      </c>
    </row>
    <row r="235" spans="1:13" x14ac:dyDescent="0.25">
      <c r="A235" t="s">
        <v>504</v>
      </c>
      <c r="B235" t="s">
        <v>505</v>
      </c>
      <c r="C235">
        <v>10</v>
      </c>
      <c r="D235" t="s">
        <v>13</v>
      </c>
      <c r="E235" s="2">
        <v>45702</v>
      </c>
      <c r="F235" s="2">
        <v>45703</v>
      </c>
      <c r="G235" t="s">
        <v>50</v>
      </c>
      <c r="H235" t="s">
        <v>379</v>
      </c>
      <c r="I235" s="3">
        <v>1605.56</v>
      </c>
      <c r="J235" s="4">
        <v>80</v>
      </c>
      <c r="K235" t="s">
        <v>21</v>
      </c>
      <c r="L235" t="str" cm="1">
        <f t="array" ref="L235">_xlfn.IFS(C235&lt;18,"under 18",C235&lt;36,"btw 18 &amp; 35",C235&lt;51,"btw 36 &amp;50",C235&lt;66,"btw 51 &amp; 66",C235&gt;66,"66 &amp; above")</f>
        <v>under 18</v>
      </c>
      <c r="M235">
        <f t="shared" si="4"/>
        <v>1</v>
      </c>
    </row>
    <row r="236" spans="1:13" x14ac:dyDescent="0.25">
      <c r="A236" t="s">
        <v>506</v>
      </c>
      <c r="B236" t="s">
        <v>507</v>
      </c>
      <c r="C236">
        <v>75</v>
      </c>
      <c r="D236" t="s">
        <v>13</v>
      </c>
      <c r="E236" s="2">
        <v>45716</v>
      </c>
      <c r="F236" s="2">
        <v>45717</v>
      </c>
      <c r="G236" t="s">
        <v>32</v>
      </c>
      <c r="H236" t="s">
        <v>36</v>
      </c>
      <c r="I236" s="3">
        <v>1383.31</v>
      </c>
      <c r="J236" s="4">
        <v>90</v>
      </c>
      <c r="K236" t="s">
        <v>16</v>
      </c>
      <c r="L236" t="str" cm="1">
        <f t="array" ref="L236">_xlfn.IFS(C236&lt;18,"under 18",C236&lt;36,"btw 18 &amp; 35",C236&lt;51,"btw 36 &amp;50",C236&lt;66,"btw 51 &amp; 66",C236&gt;66,"66 &amp; above")</f>
        <v>66 &amp; above</v>
      </c>
      <c r="M236">
        <f t="shared" si="4"/>
        <v>1</v>
      </c>
    </row>
    <row r="237" spans="1:13" x14ac:dyDescent="0.25">
      <c r="A237" t="s">
        <v>508</v>
      </c>
      <c r="B237" t="s">
        <v>509</v>
      </c>
      <c r="C237">
        <v>50</v>
      </c>
      <c r="D237" t="s">
        <v>19</v>
      </c>
      <c r="E237" s="2">
        <v>45747</v>
      </c>
      <c r="F237" s="2">
        <v>45755</v>
      </c>
      <c r="G237" t="s">
        <v>14</v>
      </c>
      <c r="H237" t="s">
        <v>112</v>
      </c>
      <c r="I237" s="3">
        <v>19135.11</v>
      </c>
      <c r="J237" s="4">
        <v>80</v>
      </c>
      <c r="K237" t="s">
        <v>16</v>
      </c>
      <c r="L237" t="str" cm="1">
        <f t="array" ref="L237">_xlfn.IFS(C237&lt;18,"under 18",C237&lt;36,"btw 18 &amp; 35",C237&lt;51,"btw 36 &amp;50",C237&lt;66,"btw 51 &amp; 66",C237&gt;66,"66 &amp; above")</f>
        <v>btw 36 &amp;50</v>
      </c>
      <c r="M237">
        <f t="shared" si="4"/>
        <v>8</v>
      </c>
    </row>
    <row r="238" spans="1:13" x14ac:dyDescent="0.25">
      <c r="A238" t="s">
        <v>510</v>
      </c>
      <c r="B238" t="s">
        <v>511</v>
      </c>
      <c r="C238">
        <v>46</v>
      </c>
      <c r="D238" t="s">
        <v>19</v>
      </c>
      <c r="E238" s="2">
        <v>45578</v>
      </c>
      <c r="F238" s="2">
        <v>45582</v>
      </c>
      <c r="G238" t="s">
        <v>61</v>
      </c>
      <c r="H238" t="s">
        <v>78</v>
      </c>
      <c r="I238" s="3">
        <v>9234.25</v>
      </c>
      <c r="J238" s="4">
        <v>70</v>
      </c>
      <c r="K238" t="s">
        <v>21</v>
      </c>
      <c r="L238" t="str" cm="1">
        <f t="array" ref="L238">_xlfn.IFS(C238&lt;18,"under 18",C238&lt;36,"btw 18 &amp; 35",C238&lt;51,"btw 36 &amp;50",C238&lt;66,"btw 51 &amp; 66",C238&gt;66,"66 &amp; above")</f>
        <v>btw 36 &amp;50</v>
      </c>
      <c r="M238">
        <f t="shared" si="4"/>
        <v>4</v>
      </c>
    </row>
    <row r="239" spans="1:13" x14ac:dyDescent="0.25">
      <c r="A239" t="s">
        <v>512</v>
      </c>
      <c r="B239" t="s">
        <v>513</v>
      </c>
      <c r="C239">
        <v>83</v>
      </c>
      <c r="D239" t="s">
        <v>13</v>
      </c>
      <c r="E239" s="2">
        <v>45467</v>
      </c>
      <c r="F239" s="2">
        <v>45472</v>
      </c>
      <c r="G239" t="s">
        <v>14</v>
      </c>
      <c r="H239" t="s">
        <v>112</v>
      </c>
      <c r="I239" s="3">
        <v>7388.36</v>
      </c>
      <c r="J239" s="4">
        <v>90</v>
      </c>
      <c r="K239" t="s">
        <v>16</v>
      </c>
      <c r="L239" t="str" cm="1">
        <f t="array" ref="L239">_xlfn.IFS(C239&lt;18,"under 18",C239&lt;36,"btw 18 &amp; 35",C239&lt;51,"btw 36 &amp;50",C239&lt;66,"btw 51 &amp; 66",C239&gt;66,"66 &amp; above")</f>
        <v>66 &amp; above</v>
      </c>
      <c r="M239">
        <f t="shared" si="4"/>
        <v>5</v>
      </c>
    </row>
    <row r="240" spans="1:13" x14ac:dyDescent="0.25">
      <c r="A240" t="s">
        <v>514</v>
      </c>
      <c r="B240" t="s">
        <v>515</v>
      </c>
      <c r="C240">
        <v>17</v>
      </c>
      <c r="D240" t="s">
        <v>19</v>
      </c>
      <c r="E240" s="2">
        <v>45465</v>
      </c>
      <c r="F240" s="2">
        <v>45468</v>
      </c>
      <c r="G240" t="s">
        <v>50</v>
      </c>
      <c r="H240" t="s">
        <v>124</v>
      </c>
      <c r="I240" s="3">
        <v>2080.9499999999998</v>
      </c>
      <c r="J240" s="4">
        <v>100</v>
      </c>
      <c r="K240" t="s">
        <v>26</v>
      </c>
      <c r="L240" t="str" cm="1">
        <f t="array" ref="L240">_xlfn.IFS(C240&lt;18,"under 18",C240&lt;36,"btw 18 &amp; 35",C240&lt;51,"btw 36 &amp;50",C240&lt;66,"btw 51 &amp; 66",C240&gt;66,"66 &amp; above")</f>
        <v>under 18</v>
      </c>
      <c r="M240">
        <f t="shared" si="4"/>
        <v>3</v>
      </c>
    </row>
    <row r="241" spans="1:13" x14ac:dyDescent="0.25">
      <c r="A241" t="s">
        <v>516</v>
      </c>
      <c r="B241" t="s">
        <v>517</v>
      </c>
      <c r="C241">
        <v>70</v>
      </c>
      <c r="D241" t="s">
        <v>13</v>
      </c>
      <c r="E241" s="2">
        <v>45301</v>
      </c>
      <c r="F241" s="2">
        <v>45303</v>
      </c>
      <c r="G241" t="s">
        <v>61</v>
      </c>
      <c r="H241" t="s">
        <v>134</v>
      </c>
      <c r="I241" s="3">
        <v>5457.97</v>
      </c>
      <c r="J241" s="4">
        <v>80</v>
      </c>
      <c r="K241" t="s">
        <v>16</v>
      </c>
      <c r="L241" t="str" cm="1">
        <f t="array" ref="L241">_xlfn.IFS(C241&lt;18,"under 18",C241&lt;36,"btw 18 &amp; 35",C241&lt;51,"btw 36 &amp;50",C241&lt;66,"btw 51 &amp; 66",C241&gt;66,"66 &amp; above")</f>
        <v>66 &amp; above</v>
      </c>
      <c r="M241">
        <f t="shared" si="4"/>
        <v>2</v>
      </c>
    </row>
    <row r="242" spans="1:13" x14ac:dyDescent="0.25">
      <c r="A242" t="s">
        <v>518</v>
      </c>
      <c r="B242" t="s">
        <v>28</v>
      </c>
      <c r="C242">
        <v>42</v>
      </c>
      <c r="D242" t="s">
        <v>19</v>
      </c>
      <c r="E242" s="2">
        <v>45522</v>
      </c>
      <c r="F242" s="2">
        <v>45534</v>
      </c>
      <c r="G242" t="s">
        <v>61</v>
      </c>
      <c r="H242" t="s">
        <v>75</v>
      </c>
      <c r="I242" s="3">
        <v>15047.59</v>
      </c>
      <c r="J242" s="4">
        <v>80</v>
      </c>
      <c r="K242" t="s">
        <v>16</v>
      </c>
      <c r="L242" t="str" cm="1">
        <f t="array" ref="L242">_xlfn.IFS(C242&lt;18,"under 18",C242&lt;36,"btw 18 &amp; 35",C242&lt;51,"btw 36 &amp;50",C242&lt;66,"btw 51 &amp; 66",C242&gt;66,"66 &amp; above")</f>
        <v>btw 36 &amp;50</v>
      </c>
      <c r="M242">
        <f t="shared" si="4"/>
        <v>12</v>
      </c>
    </row>
    <row r="243" spans="1:13" x14ac:dyDescent="0.25">
      <c r="A243" t="s">
        <v>519</v>
      </c>
      <c r="B243" t="s">
        <v>520</v>
      </c>
      <c r="C243">
        <v>16</v>
      </c>
      <c r="D243" t="s">
        <v>19</v>
      </c>
      <c r="E243" s="2">
        <v>45630</v>
      </c>
      <c r="F243" s="2">
        <v>45632</v>
      </c>
      <c r="G243" t="s">
        <v>50</v>
      </c>
      <c r="H243" t="s">
        <v>379</v>
      </c>
      <c r="I243" s="3">
        <v>2737.97</v>
      </c>
      <c r="J243" s="4">
        <v>90</v>
      </c>
      <c r="K243" t="s">
        <v>16</v>
      </c>
      <c r="L243" t="str" cm="1">
        <f t="array" ref="L243">_xlfn.IFS(C243&lt;18,"under 18",C243&lt;36,"btw 18 &amp; 35",C243&lt;51,"btw 36 &amp;50",C243&lt;66,"btw 51 &amp; 66",C243&gt;66,"66 &amp; above")</f>
        <v>under 18</v>
      </c>
      <c r="M243">
        <f t="shared" si="4"/>
        <v>2</v>
      </c>
    </row>
    <row r="244" spans="1:13" x14ac:dyDescent="0.25">
      <c r="A244" t="s">
        <v>521</v>
      </c>
      <c r="B244" t="s">
        <v>483</v>
      </c>
      <c r="C244">
        <v>58</v>
      </c>
      <c r="D244" t="s">
        <v>13</v>
      </c>
      <c r="E244" s="2">
        <v>45650</v>
      </c>
      <c r="F244" s="2">
        <v>45664</v>
      </c>
      <c r="G244" t="s">
        <v>61</v>
      </c>
      <c r="H244" t="s">
        <v>75</v>
      </c>
      <c r="I244" s="3">
        <v>19026.97</v>
      </c>
      <c r="J244" s="4">
        <v>80</v>
      </c>
      <c r="K244" t="s">
        <v>21</v>
      </c>
      <c r="L244" t="str" cm="1">
        <f t="array" ref="L244">_xlfn.IFS(C244&lt;18,"under 18",C244&lt;36,"btw 18 &amp; 35",C244&lt;51,"btw 36 &amp;50",C244&lt;66,"btw 51 &amp; 66",C244&gt;66,"66 &amp; above")</f>
        <v>btw 51 &amp; 66</v>
      </c>
      <c r="M244">
        <f t="shared" si="4"/>
        <v>14</v>
      </c>
    </row>
    <row r="245" spans="1:13" x14ac:dyDescent="0.25">
      <c r="A245" t="s">
        <v>522</v>
      </c>
      <c r="B245" t="s">
        <v>197</v>
      </c>
      <c r="C245">
        <v>35</v>
      </c>
      <c r="D245" t="s">
        <v>13</v>
      </c>
      <c r="E245" s="2">
        <v>45323</v>
      </c>
      <c r="F245" s="2">
        <v>45326</v>
      </c>
      <c r="G245" t="s">
        <v>24</v>
      </c>
      <c r="H245" t="s">
        <v>205</v>
      </c>
      <c r="I245" s="3">
        <v>4955.5</v>
      </c>
      <c r="J245" s="4">
        <v>90</v>
      </c>
      <c r="K245" t="s">
        <v>21</v>
      </c>
      <c r="L245" t="str" cm="1">
        <f t="array" ref="L245">_xlfn.IFS(C245&lt;18,"under 18",C245&lt;36,"btw 18 &amp; 35",C245&lt;51,"btw 36 &amp;50",C245&lt;66,"btw 51 &amp; 66",C245&gt;66,"66 &amp; above")</f>
        <v>btw 18 &amp; 35</v>
      </c>
      <c r="M245">
        <f t="shared" si="4"/>
        <v>3</v>
      </c>
    </row>
    <row r="246" spans="1:13" x14ac:dyDescent="0.25">
      <c r="A246" t="s">
        <v>523</v>
      </c>
      <c r="B246" t="s">
        <v>524</v>
      </c>
      <c r="C246">
        <v>58</v>
      </c>
      <c r="D246" t="s">
        <v>19</v>
      </c>
      <c r="E246" s="2">
        <v>45757</v>
      </c>
      <c r="F246" s="2">
        <v>45759</v>
      </c>
      <c r="G246" t="s">
        <v>24</v>
      </c>
      <c r="H246" t="s">
        <v>334</v>
      </c>
      <c r="I246" s="3">
        <v>4048.56</v>
      </c>
      <c r="J246" s="4">
        <v>80</v>
      </c>
      <c r="K246" t="s">
        <v>21</v>
      </c>
      <c r="L246" t="str" cm="1">
        <f t="array" ref="L246">_xlfn.IFS(C246&lt;18,"under 18",C246&lt;36,"btw 18 &amp; 35",C246&lt;51,"btw 36 &amp;50",C246&lt;66,"btw 51 &amp; 66",C246&gt;66,"66 &amp; above")</f>
        <v>btw 51 &amp; 66</v>
      </c>
      <c r="M246">
        <f t="shared" si="4"/>
        <v>2</v>
      </c>
    </row>
    <row r="247" spans="1:13" x14ac:dyDescent="0.25">
      <c r="A247" t="s">
        <v>525</v>
      </c>
      <c r="B247" t="s">
        <v>526</v>
      </c>
      <c r="C247">
        <v>47</v>
      </c>
      <c r="D247" t="s">
        <v>13</v>
      </c>
      <c r="E247" s="2">
        <v>45995</v>
      </c>
      <c r="F247" s="2">
        <v>46001</v>
      </c>
      <c r="G247" t="s">
        <v>32</v>
      </c>
      <c r="H247" t="s">
        <v>235</v>
      </c>
      <c r="I247" s="3">
        <v>6918.6</v>
      </c>
      <c r="J247" s="4">
        <v>80</v>
      </c>
      <c r="K247" t="s">
        <v>16</v>
      </c>
      <c r="L247" t="str" cm="1">
        <f t="array" ref="L247">_xlfn.IFS(C247&lt;18,"under 18",C247&lt;36,"btw 18 &amp; 35",C247&lt;51,"btw 36 &amp;50",C247&lt;66,"btw 51 &amp; 66",C247&gt;66,"66 &amp; above")</f>
        <v>btw 36 &amp;50</v>
      </c>
      <c r="M247">
        <f t="shared" si="4"/>
        <v>6</v>
      </c>
    </row>
    <row r="248" spans="1:13" x14ac:dyDescent="0.25">
      <c r="A248" t="s">
        <v>527</v>
      </c>
      <c r="B248" t="s">
        <v>528</v>
      </c>
      <c r="C248">
        <v>8</v>
      </c>
      <c r="D248" t="s">
        <v>19</v>
      </c>
      <c r="E248" s="2">
        <v>45650</v>
      </c>
      <c r="F248" s="2">
        <v>45653</v>
      </c>
      <c r="G248" t="s">
        <v>50</v>
      </c>
      <c r="H248" t="s">
        <v>121</v>
      </c>
      <c r="I248" s="3">
        <v>3846.88</v>
      </c>
      <c r="J248" s="4">
        <v>80</v>
      </c>
      <c r="K248" t="s">
        <v>16</v>
      </c>
      <c r="L248" t="str" cm="1">
        <f t="array" ref="L248">_xlfn.IFS(C248&lt;18,"under 18",C248&lt;36,"btw 18 &amp; 35",C248&lt;51,"btw 36 &amp;50",C248&lt;66,"btw 51 &amp; 66",C248&gt;66,"66 &amp; above")</f>
        <v>under 18</v>
      </c>
      <c r="M248">
        <f t="shared" si="4"/>
        <v>3</v>
      </c>
    </row>
    <row r="249" spans="1:13" x14ac:dyDescent="0.25">
      <c r="A249" t="s">
        <v>529</v>
      </c>
      <c r="B249" t="s">
        <v>530</v>
      </c>
      <c r="C249">
        <v>65</v>
      </c>
      <c r="D249" t="s">
        <v>19</v>
      </c>
      <c r="E249" s="2">
        <v>45776</v>
      </c>
      <c r="F249" s="2">
        <v>45780</v>
      </c>
      <c r="G249" t="s">
        <v>32</v>
      </c>
      <c r="H249" t="s">
        <v>115</v>
      </c>
      <c r="I249" s="3">
        <v>3019.93</v>
      </c>
      <c r="J249" s="4">
        <v>70</v>
      </c>
      <c r="K249" t="s">
        <v>26</v>
      </c>
      <c r="L249" t="str" cm="1">
        <f t="array" ref="L249">_xlfn.IFS(C249&lt;18,"under 18",C249&lt;36,"btw 18 &amp; 35",C249&lt;51,"btw 36 &amp;50",C249&lt;66,"btw 51 &amp; 66",C249&gt;66,"66 &amp; above")</f>
        <v>btw 51 &amp; 66</v>
      </c>
      <c r="M249">
        <f t="shared" si="4"/>
        <v>4</v>
      </c>
    </row>
    <row r="250" spans="1:13" x14ac:dyDescent="0.25">
      <c r="A250" t="s">
        <v>531</v>
      </c>
      <c r="B250" t="s">
        <v>532</v>
      </c>
      <c r="C250">
        <v>4</v>
      </c>
      <c r="D250" t="s">
        <v>13</v>
      </c>
      <c r="E250" s="2">
        <v>45624</v>
      </c>
      <c r="F250" s="2">
        <v>45628</v>
      </c>
      <c r="G250" t="s">
        <v>50</v>
      </c>
      <c r="H250" t="s">
        <v>131</v>
      </c>
      <c r="I250" s="3">
        <v>3543.7</v>
      </c>
      <c r="J250" s="4">
        <v>90</v>
      </c>
      <c r="K250" t="s">
        <v>21</v>
      </c>
      <c r="L250" t="str" cm="1">
        <f t="array" ref="L250">_xlfn.IFS(C250&lt;18,"under 18",C250&lt;36,"btw 18 &amp; 35",C250&lt;51,"btw 36 &amp;50",C250&lt;66,"btw 51 &amp; 66",C250&gt;66,"66 &amp; above")</f>
        <v>under 18</v>
      </c>
      <c r="M250">
        <f t="shared" si="4"/>
        <v>4</v>
      </c>
    </row>
    <row r="251" spans="1:13" x14ac:dyDescent="0.25">
      <c r="A251" t="s">
        <v>533</v>
      </c>
      <c r="B251" t="s">
        <v>313</v>
      </c>
      <c r="C251">
        <v>55</v>
      </c>
      <c r="D251" t="s">
        <v>13</v>
      </c>
      <c r="E251" s="2">
        <v>45852</v>
      </c>
      <c r="F251" s="2">
        <v>45854</v>
      </c>
      <c r="G251" t="s">
        <v>61</v>
      </c>
      <c r="H251" t="s">
        <v>143</v>
      </c>
      <c r="I251" s="3">
        <v>2354.4899999999998</v>
      </c>
      <c r="J251" s="4">
        <v>60</v>
      </c>
      <c r="K251" t="s">
        <v>26</v>
      </c>
      <c r="L251" t="str" cm="1">
        <f t="array" ref="L251">_xlfn.IFS(C251&lt;18,"under 18",C251&lt;36,"btw 18 &amp; 35",C251&lt;51,"btw 36 &amp;50",C251&lt;66,"btw 51 &amp; 66",C251&gt;66,"66 &amp; above")</f>
        <v>btw 51 &amp; 66</v>
      </c>
      <c r="M251">
        <f t="shared" si="4"/>
        <v>2</v>
      </c>
    </row>
    <row r="252" spans="1:13" x14ac:dyDescent="0.25">
      <c r="A252" t="s">
        <v>534</v>
      </c>
      <c r="B252" t="s">
        <v>515</v>
      </c>
      <c r="C252">
        <v>47</v>
      </c>
      <c r="D252" t="s">
        <v>19</v>
      </c>
      <c r="E252" s="2">
        <v>45916</v>
      </c>
      <c r="F252" s="2">
        <v>45919</v>
      </c>
      <c r="G252" t="s">
        <v>24</v>
      </c>
      <c r="H252" t="s">
        <v>25</v>
      </c>
      <c r="I252" s="3">
        <v>4854.92</v>
      </c>
      <c r="J252" s="4">
        <v>70</v>
      </c>
      <c r="K252" t="s">
        <v>26</v>
      </c>
      <c r="L252" t="str" cm="1">
        <f t="array" ref="L252">_xlfn.IFS(C252&lt;18,"under 18",C252&lt;36,"btw 18 &amp; 35",C252&lt;51,"btw 36 &amp;50",C252&lt;66,"btw 51 &amp; 66",C252&gt;66,"66 &amp; above")</f>
        <v>btw 36 &amp;50</v>
      </c>
      <c r="M252">
        <f t="shared" si="4"/>
        <v>3</v>
      </c>
    </row>
    <row r="253" spans="1:13" x14ac:dyDescent="0.25">
      <c r="A253" t="s">
        <v>535</v>
      </c>
      <c r="B253" t="s">
        <v>273</v>
      </c>
      <c r="C253">
        <v>7</v>
      </c>
      <c r="D253" t="s">
        <v>19</v>
      </c>
      <c r="E253" s="2">
        <v>45478</v>
      </c>
      <c r="F253" s="2">
        <v>45480</v>
      </c>
      <c r="G253" t="s">
        <v>50</v>
      </c>
      <c r="H253" t="s">
        <v>379</v>
      </c>
      <c r="I253" s="3">
        <v>2341.4499999999998</v>
      </c>
      <c r="J253" s="4">
        <v>90</v>
      </c>
      <c r="K253" t="s">
        <v>21</v>
      </c>
      <c r="L253" t="str" cm="1">
        <f t="array" ref="L253">_xlfn.IFS(C253&lt;18,"under 18",C253&lt;36,"btw 18 &amp; 35",C253&lt;51,"btw 36 &amp;50",C253&lt;66,"btw 51 &amp; 66",C253&gt;66,"66 &amp; above")</f>
        <v>under 18</v>
      </c>
      <c r="M253">
        <f t="shared" si="4"/>
        <v>2</v>
      </c>
    </row>
    <row r="254" spans="1:13" x14ac:dyDescent="0.25">
      <c r="A254" t="s">
        <v>536</v>
      </c>
      <c r="B254" t="s">
        <v>537</v>
      </c>
      <c r="C254">
        <v>8</v>
      </c>
      <c r="D254" t="s">
        <v>13</v>
      </c>
      <c r="E254" s="2">
        <v>45601</v>
      </c>
      <c r="F254" s="2">
        <v>45606</v>
      </c>
      <c r="G254" t="s">
        <v>50</v>
      </c>
      <c r="H254" t="s">
        <v>124</v>
      </c>
      <c r="I254" s="3">
        <v>6634.75</v>
      </c>
      <c r="J254" s="4">
        <v>100</v>
      </c>
      <c r="K254" t="s">
        <v>21</v>
      </c>
      <c r="L254" t="str" cm="1">
        <f t="array" ref="L254">_xlfn.IFS(C254&lt;18,"under 18",C254&lt;36,"btw 18 &amp; 35",C254&lt;51,"btw 36 &amp;50",C254&lt;66,"btw 51 &amp; 66",C254&gt;66,"66 &amp; above")</f>
        <v>under 18</v>
      </c>
      <c r="M254">
        <f t="shared" si="4"/>
        <v>5</v>
      </c>
    </row>
    <row r="255" spans="1:13" x14ac:dyDescent="0.25">
      <c r="A255" t="s">
        <v>538</v>
      </c>
      <c r="B255" t="s">
        <v>539</v>
      </c>
      <c r="C255">
        <v>11</v>
      </c>
      <c r="D255" t="s">
        <v>19</v>
      </c>
      <c r="E255" s="2">
        <v>45770</v>
      </c>
      <c r="F255" s="2">
        <v>45773</v>
      </c>
      <c r="G255" t="s">
        <v>50</v>
      </c>
      <c r="H255" t="s">
        <v>121</v>
      </c>
      <c r="I255" s="3">
        <v>2307.54</v>
      </c>
      <c r="J255" s="4">
        <v>70</v>
      </c>
      <c r="K255" t="s">
        <v>21</v>
      </c>
      <c r="L255" t="str" cm="1">
        <f t="array" ref="L255">_xlfn.IFS(C255&lt;18,"under 18",C255&lt;36,"btw 18 &amp; 35",C255&lt;51,"btw 36 &amp;50",C255&lt;66,"btw 51 &amp; 66",C255&gt;66,"66 &amp; above")</f>
        <v>under 18</v>
      </c>
      <c r="M255">
        <f t="shared" si="4"/>
        <v>3</v>
      </c>
    </row>
    <row r="256" spans="1:13" x14ac:dyDescent="0.25">
      <c r="A256" t="s">
        <v>540</v>
      </c>
      <c r="B256" t="s">
        <v>541</v>
      </c>
      <c r="C256">
        <v>29</v>
      </c>
      <c r="D256" t="s">
        <v>13</v>
      </c>
      <c r="E256" s="2">
        <v>45963</v>
      </c>
      <c r="F256" s="2">
        <v>45968</v>
      </c>
      <c r="G256" t="s">
        <v>32</v>
      </c>
      <c r="H256" t="s">
        <v>54</v>
      </c>
      <c r="I256" s="3">
        <v>6481.41</v>
      </c>
      <c r="J256" s="4">
        <v>60</v>
      </c>
      <c r="K256" t="s">
        <v>26</v>
      </c>
      <c r="L256" t="str" cm="1">
        <f t="array" ref="L256">_xlfn.IFS(C256&lt;18,"under 18",C256&lt;36,"btw 18 &amp; 35",C256&lt;51,"btw 36 &amp;50",C256&lt;66,"btw 51 &amp; 66",C256&gt;66,"66 &amp; above")</f>
        <v>btw 18 &amp; 35</v>
      </c>
      <c r="M256">
        <f t="shared" si="4"/>
        <v>5</v>
      </c>
    </row>
    <row r="257" spans="1:13" x14ac:dyDescent="0.25">
      <c r="A257" t="s">
        <v>542</v>
      </c>
      <c r="B257" t="s">
        <v>543</v>
      </c>
      <c r="C257">
        <v>43</v>
      </c>
      <c r="D257" t="s">
        <v>13</v>
      </c>
      <c r="E257" s="2">
        <v>45296</v>
      </c>
      <c r="F257" s="2">
        <v>45305</v>
      </c>
      <c r="G257" t="s">
        <v>14</v>
      </c>
      <c r="H257" t="s">
        <v>39</v>
      </c>
      <c r="I257" s="3">
        <v>14839.54</v>
      </c>
      <c r="J257" s="4">
        <v>70</v>
      </c>
      <c r="K257" t="s">
        <v>26</v>
      </c>
      <c r="L257" t="str" cm="1">
        <f t="array" ref="L257">_xlfn.IFS(C257&lt;18,"under 18",C257&lt;36,"btw 18 &amp; 35",C257&lt;51,"btw 36 &amp;50",C257&lt;66,"btw 51 &amp; 66",C257&gt;66,"66 &amp; above")</f>
        <v>btw 36 &amp;50</v>
      </c>
      <c r="M257">
        <f t="shared" si="4"/>
        <v>9</v>
      </c>
    </row>
    <row r="258" spans="1:13" x14ac:dyDescent="0.25">
      <c r="A258" t="s">
        <v>544</v>
      </c>
      <c r="B258" t="s">
        <v>545</v>
      </c>
      <c r="C258">
        <v>31</v>
      </c>
      <c r="D258" t="s">
        <v>19</v>
      </c>
      <c r="E258" s="2">
        <v>45982</v>
      </c>
      <c r="F258" s="2">
        <v>45987</v>
      </c>
      <c r="G258" t="s">
        <v>71</v>
      </c>
      <c r="H258" t="s">
        <v>95</v>
      </c>
      <c r="I258" s="3">
        <v>8724.32</v>
      </c>
      <c r="J258" s="4">
        <v>80</v>
      </c>
      <c r="K258" t="s">
        <v>21</v>
      </c>
      <c r="L258" t="str" cm="1">
        <f t="array" ref="L258">_xlfn.IFS(C258&lt;18,"under 18",C258&lt;36,"btw 18 &amp; 35",C258&lt;51,"btw 36 &amp;50",C258&lt;66,"btw 51 &amp; 66",C258&gt;66,"66 &amp; above")</f>
        <v>btw 18 &amp; 35</v>
      </c>
      <c r="M258">
        <f t="shared" si="4"/>
        <v>5</v>
      </c>
    </row>
    <row r="259" spans="1:13" x14ac:dyDescent="0.25">
      <c r="A259" t="s">
        <v>546</v>
      </c>
      <c r="B259" t="s">
        <v>547</v>
      </c>
      <c r="C259">
        <v>74</v>
      </c>
      <c r="D259" t="s">
        <v>19</v>
      </c>
      <c r="E259" s="2">
        <v>45764</v>
      </c>
      <c r="F259" s="2">
        <v>45770</v>
      </c>
      <c r="G259" t="s">
        <v>32</v>
      </c>
      <c r="H259" t="s">
        <v>33</v>
      </c>
      <c r="I259" s="3">
        <v>8724.0499999999993</v>
      </c>
      <c r="J259" s="4">
        <v>50</v>
      </c>
      <c r="K259" t="s">
        <v>21</v>
      </c>
      <c r="L259" t="str" cm="1">
        <f t="array" ref="L259">_xlfn.IFS(C259&lt;18,"under 18",C259&lt;36,"btw 18 &amp; 35",C259&lt;51,"btw 36 &amp;50",C259&lt;66,"btw 51 &amp; 66",C259&gt;66,"66 &amp; above")</f>
        <v>66 &amp; above</v>
      </c>
      <c r="M259">
        <f t="shared" ref="M259:M322" si="5">AVERAGE(F259-E259)</f>
        <v>6</v>
      </c>
    </row>
    <row r="260" spans="1:13" x14ac:dyDescent="0.25">
      <c r="A260" t="s">
        <v>548</v>
      </c>
      <c r="B260" t="s">
        <v>549</v>
      </c>
      <c r="C260">
        <v>60</v>
      </c>
      <c r="D260" t="s">
        <v>19</v>
      </c>
      <c r="E260" s="2">
        <v>45711</v>
      </c>
      <c r="F260" s="2">
        <v>45718</v>
      </c>
      <c r="G260" t="s">
        <v>14</v>
      </c>
      <c r="H260" t="s">
        <v>166</v>
      </c>
      <c r="I260" s="3">
        <v>12277.2</v>
      </c>
      <c r="J260" s="4">
        <v>100</v>
      </c>
      <c r="K260" t="s">
        <v>16</v>
      </c>
      <c r="L260" t="str" cm="1">
        <f t="array" ref="L260">_xlfn.IFS(C260&lt;18,"under 18",C260&lt;36,"btw 18 &amp; 35",C260&lt;51,"btw 36 &amp;50",C260&lt;66,"btw 51 &amp; 66",C260&gt;66,"66 &amp; above")</f>
        <v>btw 51 &amp; 66</v>
      </c>
      <c r="M260">
        <f t="shared" si="5"/>
        <v>7</v>
      </c>
    </row>
    <row r="261" spans="1:13" x14ac:dyDescent="0.25">
      <c r="A261" t="s">
        <v>550</v>
      </c>
      <c r="B261" t="s">
        <v>551</v>
      </c>
      <c r="C261">
        <v>82</v>
      </c>
      <c r="D261" t="s">
        <v>19</v>
      </c>
      <c r="E261" s="2">
        <v>45465</v>
      </c>
      <c r="F261" s="2">
        <v>45468</v>
      </c>
      <c r="G261" t="s">
        <v>24</v>
      </c>
      <c r="H261" t="s">
        <v>25</v>
      </c>
      <c r="I261" s="3">
        <v>7304.79</v>
      </c>
      <c r="J261" s="4">
        <v>90</v>
      </c>
      <c r="K261" t="s">
        <v>16</v>
      </c>
      <c r="L261" t="str" cm="1">
        <f t="array" ref="L261">_xlfn.IFS(C261&lt;18,"under 18",C261&lt;36,"btw 18 &amp; 35",C261&lt;51,"btw 36 &amp;50",C261&lt;66,"btw 51 &amp; 66",C261&gt;66,"66 &amp; above")</f>
        <v>66 &amp; above</v>
      </c>
      <c r="M261">
        <f t="shared" si="5"/>
        <v>3</v>
      </c>
    </row>
    <row r="262" spans="1:13" x14ac:dyDescent="0.25">
      <c r="A262" t="s">
        <v>552</v>
      </c>
      <c r="B262" t="s">
        <v>128</v>
      </c>
      <c r="C262">
        <v>44</v>
      </c>
      <c r="D262" t="s">
        <v>19</v>
      </c>
      <c r="E262" s="2">
        <v>45682</v>
      </c>
      <c r="F262" s="2">
        <v>45685</v>
      </c>
      <c r="G262" t="s">
        <v>24</v>
      </c>
      <c r="H262" t="s">
        <v>42</v>
      </c>
      <c r="I262" s="3">
        <v>4042.99</v>
      </c>
      <c r="J262" s="4">
        <v>100</v>
      </c>
      <c r="K262" t="s">
        <v>26</v>
      </c>
      <c r="L262" t="str" cm="1">
        <f t="array" ref="L262">_xlfn.IFS(C262&lt;18,"under 18",C262&lt;36,"btw 18 &amp; 35",C262&lt;51,"btw 36 &amp;50",C262&lt;66,"btw 51 &amp; 66",C262&gt;66,"66 &amp; above")</f>
        <v>btw 36 &amp;50</v>
      </c>
      <c r="M262">
        <f t="shared" si="5"/>
        <v>3</v>
      </c>
    </row>
    <row r="263" spans="1:13" x14ac:dyDescent="0.25">
      <c r="A263" t="s">
        <v>553</v>
      </c>
      <c r="B263" t="s">
        <v>554</v>
      </c>
      <c r="C263">
        <v>25</v>
      </c>
      <c r="D263" t="s">
        <v>13</v>
      </c>
      <c r="E263" s="2">
        <v>45406</v>
      </c>
      <c r="F263" s="2">
        <v>45409</v>
      </c>
      <c r="G263" t="s">
        <v>32</v>
      </c>
      <c r="H263" t="s">
        <v>88</v>
      </c>
      <c r="I263" s="3">
        <v>2452.73</v>
      </c>
      <c r="J263" s="4">
        <v>0</v>
      </c>
      <c r="K263" t="s">
        <v>26</v>
      </c>
      <c r="L263" t="str" cm="1">
        <f t="array" ref="L263">_xlfn.IFS(C263&lt;18,"under 18",C263&lt;36,"btw 18 &amp; 35",C263&lt;51,"btw 36 &amp;50",C263&lt;66,"btw 51 &amp; 66",C263&gt;66,"66 &amp; above")</f>
        <v>btw 18 &amp; 35</v>
      </c>
      <c r="M263">
        <f t="shared" si="5"/>
        <v>3</v>
      </c>
    </row>
    <row r="264" spans="1:13" x14ac:dyDescent="0.25">
      <c r="A264" t="s">
        <v>555</v>
      </c>
      <c r="B264" t="s">
        <v>556</v>
      </c>
      <c r="C264">
        <v>15</v>
      </c>
      <c r="D264" t="s">
        <v>19</v>
      </c>
      <c r="E264" s="2">
        <v>46010</v>
      </c>
      <c r="F264" s="2">
        <v>46012</v>
      </c>
      <c r="G264" t="s">
        <v>50</v>
      </c>
      <c r="H264" t="s">
        <v>131</v>
      </c>
      <c r="I264" s="3">
        <v>1535.75</v>
      </c>
      <c r="J264" s="4">
        <v>90</v>
      </c>
      <c r="K264" t="s">
        <v>16</v>
      </c>
      <c r="L264" t="str" cm="1">
        <f t="array" ref="L264">_xlfn.IFS(C264&lt;18,"under 18",C264&lt;36,"btw 18 &amp; 35",C264&lt;51,"btw 36 &amp;50",C264&lt;66,"btw 51 &amp; 66",C264&gt;66,"66 &amp; above")</f>
        <v>under 18</v>
      </c>
      <c r="M264">
        <f t="shared" si="5"/>
        <v>2</v>
      </c>
    </row>
    <row r="265" spans="1:13" x14ac:dyDescent="0.25">
      <c r="A265" t="s">
        <v>557</v>
      </c>
      <c r="B265" t="s">
        <v>192</v>
      </c>
      <c r="C265">
        <v>39</v>
      </c>
      <c r="D265" t="s">
        <v>19</v>
      </c>
      <c r="E265" s="2">
        <v>45591</v>
      </c>
      <c r="F265" s="2">
        <v>45592</v>
      </c>
      <c r="G265" t="s">
        <v>32</v>
      </c>
      <c r="H265" t="s">
        <v>115</v>
      </c>
      <c r="I265" s="3">
        <v>600.19000000000005</v>
      </c>
      <c r="J265" s="4">
        <v>100</v>
      </c>
      <c r="K265" t="s">
        <v>16</v>
      </c>
      <c r="L265" t="str" cm="1">
        <f t="array" ref="L265">_xlfn.IFS(C265&lt;18,"under 18",C265&lt;36,"btw 18 &amp; 35",C265&lt;51,"btw 36 &amp;50",C265&lt;66,"btw 51 &amp; 66",C265&gt;66,"66 &amp; above")</f>
        <v>btw 36 &amp;50</v>
      </c>
      <c r="M265">
        <f t="shared" si="5"/>
        <v>1</v>
      </c>
    </row>
    <row r="266" spans="1:13" x14ac:dyDescent="0.25">
      <c r="A266" t="s">
        <v>558</v>
      </c>
      <c r="B266" t="s">
        <v>559</v>
      </c>
      <c r="C266">
        <v>73</v>
      </c>
      <c r="D266" t="s">
        <v>19</v>
      </c>
      <c r="E266" s="2">
        <v>45531</v>
      </c>
      <c r="F266" s="2">
        <v>45533</v>
      </c>
      <c r="G266" t="s">
        <v>24</v>
      </c>
      <c r="H266" t="s">
        <v>83</v>
      </c>
      <c r="I266" s="3">
        <v>2662.2</v>
      </c>
      <c r="J266" s="4">
        <v>100</v>
      </c>
      <c r="K266" t="s">
        <v>16</v>
      </c>
      <c r="L266" t="str" cm="1">
        <f t="array" ref="L266">_xlfn.IFS(C266&lt;18,"under 18",C266&lt;36,"btw 18 &amp; 35",C266&lt;51,"btw 36 &amp;50",C266&lt;66,"btw 51 &amp; 66",C266&gt;66,"66 &amp; above")</f>
        <v>66 &amp; above</v>
      </c>
      <c r="M266">
        <f t="shared" si="5"/>
        <v>2</v>
      </c>
    </row>
    <row r="267" spans="1:13" x14ac:dyDescent="0.25">
      <c r="A267" t="s">
        <v>560</v>
      </c>
      <c r="B267" t="s">
        <v>561</v>
      </c>
      <c r="C267">
        <v>58</v>
      </c>
      <c r="D267" t="s">
        <v>13</v>
      </c>
      <c r="E267" s="2">
        <v>45770</v>
      </c>
      <c r="F267" s="2">
        <v>45773</v>
      </c>
      <c r="G267" t="s">
        <v>24</v>
      </c>
      <c r="H267" t="s">
        <v>25</v>
      </c>
      <c r="I267" s="3">
        <v>2947.4</v>
      </c>
      <c r="J267" s="4">
        <v>90</v>
      </c>
      <c r="K267" t="s">
        <v>16</v>
      </c>
      <c r="L267" t="str" cm="1">
        <f t="array" ref="L267">_xlfn.IFS(C267&lt;18,"under 18",C267&lt;36,"btw 18 &amp; 35",C267&lt;51,"btw 36 &amp;50",C267&lt;66,"btw 51 &amp; 66",C267&gt;66,"66 &amp; above")</f>
        <v>btw 51 &amp; 66</v>
      </c>
      <c r="M267">
        <f t="shared" si="5"/>
        <v>3</v>
      </c>
    </row>
    <row r="268" spans="1:13" x14ac:dyDescent="0.25">
      <c r="A268" t="s">
        <v>562</v>
      </c>
      <c r="B268" t="s">
        <v>563</v>
      </c>
      <c r="C268">
        <v>58</v>
      </c>
      <c r="D268" t="s">
        <v>13</v>
      </c>
      <c r="E268" s="2">
        <v>45815</v>
      </c>
      <c r="F268" s="2">
        <v>45818</v>
      </c>
      <c r="G268" t="s">
        <v>61</v>
      </c>
      <c r="H268" t="s">
        <v>134</v>
      </c>
      <c r="I268" s="3">
        <v>6487.43</v>
      </c>
      <c r="J268" s="4">
        <v>80</v>
      </c>
      <c r="K268" t="s">
        <v>16</v>
      </c>
      <c r="L268" t="str" cm="1">
        <f t="array" ref="L268">_xlfn.IFS(C268&lt;18,"under 18",C268&lt;36,"btw 18 &amp; 35",C268&lt;51,"btw 36 &amp;50",C268&lt;66,"btw 51 &amp; 66",C268&gt;66,"66 &amp; above")</f>
        <v>btw 51 &amp; 66</v>
      </c>
      <c r="M268">
        <f t="shared" si="5"/>
        <v>3</v>
      </c>
    </row>
    <row r="269" spans="1:13" x14ac:dyDescent="0.25">
      <c r="A269" t="s">
        <v>564</v>
      </c>
      <c r="B269" t="s">
        <v>565</v>
      </c>
      <c r="C269">
        <v>78</v>
      </c>
      <c r="D269" t="s">
        <v>19</v>
      </c>
      <c r="E269" s="2">
        <v>45863</v>
      </c>
      <c r="F269" s="2">
        <v>45867</v>
      </c>
      <c r="G269" t="s">
        <v>14</v>
      </c>
      <c r="H269" t="s">
        <v>166</v>
      </c>
      <c r="I269" s="3">
        <v>5274.8</v>
      </c>
      <c r="J269" s="4">
        <v>80</v>
      </c>
      <c r="K269" t="s">
        <v>16</v>
      </c>
      <c r="L269" t="str" cm="1">
        <f t="array" ref="L269">_xlfn.IFS(C269&lt;18,"under 18",C269&lt;36,"btw 18 &amp; 35",C269&lt;51,"btw 36 &amp;50",C269&lt;66,"btw 51 &amp; 66",C269&gt;66,"66 &amp; above")</f>
        <v>66 &amp; above</v>
      </c>
      <c r="M269">
        <f t="shared" si="5"/>
        <v>4</v>
      </c>
    </row>
    <row r="270" spans="1:13" x14ac:dyDescent="0.25">
      <c r="A270" t="s">
        <v>566</v>
      </c>
      <c r="B270" t="s">
        <v>567</v>
      </c>
      <c r="C270">
        <v>56</v>
      </c>
      <c r="D270" t="s">
        <v>13</v>
      </c>
      <c r="E270" s="2">
        <v>45919</v>
      </c>
      <c r="F270" s="2">
        <v>45925</v>
      </c>
      <c r="G270" t="s">
        <v>14</v>
      </c>
      <c r="H270" t="s">
        <v>15</v>
      </c>
      <c r="I270" s="3">
        <v>17770.45</v>
      </c>
      <c r="J270" s="4">
        <v>100</v>
      </c>
      <c r="K270" t="s">
        <v>16</v>
      </c>
      <c r="L270" t="str" cm="1">
        <f t="array" ref="L270">_xlfn.IFS(C270&lt;18,"under 18",C270&lt;36,"btw 18 &amp; 35",C270&lt;51,"btw 36 &amp;50",C270&lt;66,"btw 51 &amp; 66",C270&gt;66,"66 &amp; above")</f>
        <v>btw 51 &amp; 66</v>
      </c>
      <c r="M270">
        <f t="shared" si="5"/>
        <v>6</v>
      </c>
    </row>
    <row r="271" spans="1:13" x14ac:dyDescent="0.25">
      <c r="A271" t="s">
        <v>568</v>
      </c>
      <c r="B271" t="s">
        <v>569</v>
      </c>
      <c r="C271">
        <v>50</v>
      </c>
      <c r="D271" t="s">
        <v>19</v>
      </c>
      <c r="E271" s="2">
        <v>45989</v>
      </c>
      <c r="F271" s="2">
        <v>46003</v>
      </c>
      <c r="G271" t="s">
        <v>61</v>
      </c>
      <c r="H271" t="s">
        <v>134</v>
      </c>
      <c r="I271" s="3">
        <v>38493.53</v>
      </c>
      <c r="J271" s="4">
        <v>0</v>
      </c>
      <c r="K271" t="s">
        <v>16</v>
      </c>
      <c r="L271" t="str" cm="1">
        <f t="array" ref="L271">_xlfn.IFS(C271&lt;18,"under 18",C271&lt;36,"btw 18 &amp; 35",C271&lt;51,"btw 36 &amp;50",C271&lt;66,"btw 51 &amp; 66",C271&gt;66,"66 &amp; above")</f>
        <v>btw 36 &amp;50</v>
      </c>
      <c r="M271">
        <f t="shared" si="5"/>
        <v>14</v>
      </c>
    </row>
    <row r="272" spans="1:13" x14ac:dyDescent="0.25">
      <c r="A272" t="s">
        <v>570</v>
      </c>
      <c r="B272" t="s">
        <v>571</v>
      </c>
      <c r="C272">
        <v>71</v>
      </c>
      <c r="D272" t="s">
        <v>19</v>
      </c>
      <c r="E272" s="2">
        <v>45366</v>
      </c>
      <c r="F272" s="2">
        <v>45369</v>
      </c>
      <c r="G272" t="s">
        <v>32</v>
      </c>
      <c r="H272" t="s">
        <v>33</v>
      </c>
      <c r="I272" s="3">
        <v>3136.05</v>
      </c>
      <c r="J272" s="4">
        <v>90</v>
      </c>
      <c r="K272" t="s">
        <v>16</v>
      </c>
      <c r="L272" t="str" cm="1">
        <f t="array" ref="L272">_xlfn.IFS(C272&lt;18,"under 18",C272&lt;36,"btw 18 &amp; 35",C272&lt;51,"btw 36 &amp;50",C272&lt;66,"btw 51 &amp; 66",C272&gt;66,"66 &amp; above")</f>
        <v>66 &amp; above</v>
      </c>
      <c r="M272">
        <f t="shared" si="5"/>
        <v>3</v>
      </c>
    </row>
    <row r="273" spans="1:13" x14ac:dyDescent="0.25">
      <c r="A273" t="s">
        <v>572</v>
      </c>
      <c r="B273" t="s">
        <v>102</v>
      </c>
      <c r="C273">
        <v>41</v>
      </c>
      <c r="D273" t="s">
        <v>19</v>
      </c>
      <c r="E273" s="2">
        <v>45999</v>
      </c>
      <c r="F273" s="2">
        <v>46009</v>
      </c>
      <c r="G273" t="s">
        <v>14</v>
      </c>
      <c r="H273" t="s">
        <v>103</v>
      </c>
      <c r="I273" s="3">
        <v>28492.22</v>
      </c>
      <c r="J273" s="4">
        <v>90</v>
      </c>
      <c r="K273" t="s">
        <v>16</v>
      </c>
      <c r="L273" t="str" cm="1">
        <f t="array" ref="L273">_xlfn.IFS(C273&lt;18,"under 18",C273&lt;36,"btw 18 &amp; 35",C273&lt;51,"btw 36 &amp;50",C273&lt;66,"btw 51 &amp; 66",C273&gt;66,"66 &amp; above")</f>
        <v>btw 36 &amp;50</v>
      </c>
      <c r="M273">
        <f t="shared" si="5"/>
        <v>10</v>
      </c>
    </row>
    <row r="274" spans="1:13" x14ac:dyDescent="0.25">
      <c r="A274" t="s">
        <v>573</v>
      </c>
      <c r="B274" t="s">
        <v>574</v>
      </c>
      <c r="C274">
        <v>47</v>
      </c>
      <c r="D274" t="s">
        <v>13</v>
      </c>
      <c r="E274" s="2">
        <v>45705</v>
      </c>
      <c r="F274" s="2">
        <v>45713</v>
      </c>
      <c r="G274" t="s">
        <v>14</v>
      </c>
      <c r="H274" t="s">
        <v>112</v>
      </c>
      <c r="I274" s="3">
        <v>11794.68</v>
      </c>
      <c r="J274" s="4">
        <v>70</v>
      </c>
      <c r="K274" t="s">
        <v>26</v>
      </c>
      <c r="L274" t="str" cm="1">
        <f t="array" ref="L274">_xlfn.IFS(C274&lt;18,"under 18",C274&lt;36,"btw 18 &amp; 35",C274&lt;51,"btw 36 &amp;50",C274&lt;66,"btw 51 &amp; 66",C274&gt;66,"66 &amp; above")</f>
        <v>btw 36 &amp;50</v>
      </c>
      <c r="M274">
        <f t="shared" si="5"/>
        <v>8</v>
      </c>
    </row>
    <row r="275" spans="1:13" x14ac:dyDescent="0.25">
      <c r="A275" t="s">
        <v>575</v>
      </c>
      <c r="B275" t="s">
        <v>199</v>
      </c>
      <c r="C275">
        <v>16</v>
      </c>
      <c r="D275" t="s">
        <v>19</v>
      </c>
      <c r="E275" s="2">
        <v>45634</v>
      </c>
      <c r="F275" s="2">
        <v>45638</v>
      </c>
      <c r="G275" t="s">
        <v>50</v>
      </c>
      <c r="H275" t="s">
        <v>124</v>
      </c>
      <c r="I275" s="3">
        <v>5980.76</v>
      </c>
      <c r="J275" s="4">
        <v>80</v>
      </c>
      <c r="K275" t="s">
        <v>16</v>
      </c>
      <c r="L275" t="str" cm="1">
        <f t="array" ref="L275">_xlfn.IFS(C275&lt;18,"under 18",C275&lt;36,"btw 18 &amp; 35",C275&lt;51,"btw 36 &amp;50",C275&lt;66,"btw 51 &amp; 66",C275&gt;66,"66 &amp; above")</f>
        <v>under 18</v>
      </c>
      <c r="M275">
        <f t="shared" si="5"/>
        <v>4</v>
      </c>
    </row>
    <row r="276" spans="1:13" x14ac:dyDescent="0.25">
      <c r="A276" t="s">
        <v>576</v>
      </c>
      <c r="B276" t="s">
        <v>23</v>
      </c>
      <c r="C276">
        <v>56</v>
      </c>
      <c r="D276" t="s">
        <v>19</v>
      </c>
      <c r="E276" s="2">
        <v>45912</v>
      </c>
      <c r="F276" s="2">
        <v>45923</v>
      </c>
      <c r="G276" t="s">
        <v>71</v>
      </c>
      <c r="H276" t="s">
        <v>296</v>
      </c>
      <c r="I276" s="3">
        <v>16835.150000000001</v>
      </c>
      <c r="J276" s="4">
        <v>100</v>
      </c>
      <c r="K276" t="s">
        <v>16</v>
      </c>
      <c r="L276" t="str" cm="1">
        <f t="array" ref="L276">_xlfn.IFS(C276&lt;18,"under 18",C276&lt;36,"btw 18 &amp; 35",C276&lt;51,"btw 36 &amp;50",C276&lt;66,"btw 51 &amp; 66",C276&gt;66,"66 &amp; above")</f>
        <v>btw 51 &amp; 66</v>
      </c>
      <c r="M276">
        <f t="shared" si="5"/>
        <v>11</v>
      </c>
    </row>
    <row r="277" spans="1:13" x14ac:dyDescent="0.25">
      <c r="A277" t="s">
        <v>577</v>
      </c>
      <c r="B277" t="s">
        <v>578</v>
      </c>
      <c r="C277">
        <v>69</v>
      </c>
      <c r="D277" t="s">
        <v>19</v>
      </c>
      <c r="E277" s="2">
        <v>45933</v>
      </c>
      <c r="F277" s="2">
        <v>45937</v>
      </c>
      <c r="G277" t="s">
        <v>32</v>
      </c>
      <c r="H277" t="s">
        <v>115</v>
      </c>
      <c r="I277" s="3">
        <v>2837.18</v>
      </c>
      <c r="J277" s="4">
        <v>100</v>
      </c>
      <c r="K277" t="s">
        <v>26</v>
      </c>
      <c r="L277" t="str" cm="1">
        <f t="array" ref="L277">_xlfn.IFS(C277&lt;18,"under 18",C277&lt;36,"btw 18 &amp; 35",C277&lt;51,"btw 36 &amp;50",C277&lt;66,"btw 51 &amp; 66",C277&gt;66,"66 &amp; above")</f>
        <v>66 &amp; above</v>
      </c>
      <c r="M277">
        <f t="shared" si="5"/>
        <v>4</v>
      </c>
    </row>
    <row r="278" spans="1:13" x14ac:dyDescent="0.25">
      <c r="A278" t="s">
        <v>579</v>
      </c>
      <c r="B278" t="s">
        <v>580</v>
      </c>
      <c r="C278">
        <v>39</v>
      </c>
      <c r="D278" t="s">
        <v>19</v>
      </c>
      <c r="E278" s="2">
        <v>45778</v>
      </c>
      <c r="F278" s="2">
        <v>45785</v>
      </c>
      <c r="G278" t="s">
        <v>32</v>
      </c>
      <c r="H278" t="s">
        <v>36</v>
      </c>
      <c r="I278" s="3">
        <v>5652.05</v>
      </c>
      <c r="J278" s="4">
        <v>0</v>
      </c>
      <c r="K278" t="s">
        <v>21</v>
      </c>
      <c r="L278" t="str" cm="1">
        <f t="array" ref="L278">_xlfn.IFS(C278&lt;18,"under 18",C278&lt;36,"btw 18 &amp; 35",C278&lt;51,"btw 36 &amp;50",C278&lt;66,"btw 51 &amp; 66",C278&gt;66,"66 &amp; above")</f>
        <v>btw 36 &amp;50</v>
      </c>
      <c r="M278">
        <f t="shared" si="5"/>
        <v>7</v>
      </c>
    </row>
    <row r="279" spans="1:13" x14ac:dyDescent="0.25">
      <c r="A279" t="s">
        <v>581</v>
      </c>
      <c r="B279" t="s">
        <v>582</v>
      </c>
      <c r="C279">
        <v>51</v>
      </c>
      <c r="D279" t="s">
        <v>19</v>
      </c>
      <c r="E279" s="2">
        <v>45348</v>
      </c>
      <c r="F279" s="2">
        <v>45356</v>
      </c>
      <c r="G279" t="s">
        <v>14</v>
      </c>
      <c r="H279" t="s">
        <v>15</v>
      </c>
      <c r="I279" s="3">
        <v>15284.52</v>
      </c>
      <c r="J279" s="4">
        <v>90</v>
      </c>
      <c r="K279" t="s">
        <v>16</v>
      </c>
      <c r="L279" t="str" cm="1">
        <f t="array" ref="L279">_xlfn.IFS(C279&lt;18,"under 18",C279&lt;36,"btw 18 &amp; 35",C279&lt;51,"btw 36 &amp;50",C279&lt;66,"btw 51 &amp; 66",C279&gt;66,"66 &amp; above")</f>
        <v>btw 51 &amp; 66</v>
      </c>
      <c r="M279">
        <f t="shared" si="5"/>
        <v>8</v>
      </c>
    </row>
    <row r="280" spans="1:13" x14ac:dyDescent="0.25">
      <c r="A280" t="s">
        <v>583</v>
      </c>
      <c r="B280" t="s">
        <v>584</v>
      </c>
      <c r="C280">
        <v>22</v>
      </c>
      <c r="D280" t="s">
        <v>13</v>
      </c>
      <c r="E280" s="2">
        <v>45465</v>
      </c>
      <c r="F280" s="2">
        <v>45470</v>
      </c>
      <c r="G280" t="s">
        <v>32</v>
      </c>
      <c r="H280" t="s">
        <v>45</v>
      </c>
      <c r="I280" s="3">
        <v>6837.91</v>
      </c>
      <c r="J280" s="4">
        <v>80</v>
      </c>
      <c r="K280" t="s">
        <v>21</v>
      </c>
      <c r="L280" t="str" cm="1">
        <f t="array" ref="L280">_xlfn.IFS(C280&lt;18,"under 18",C280&lt;36,"btw 18 &amp; 35",C280&lt;51,"btw 36 &amp;50",C280&lt;66,"btw 51 &amp; 66",C280&gt;66,"66 &amp; above")</f>
        <v>btw 18 &amp; 35</v>
      </c>
      <c r="M280">
        <f t="shared" si="5"/>
        <v>5</v>
      </c>
    </row>
    <row r="281" spans="1:13" x14ac:dyDescent="0.25">
      <c r="A281" t="s">
        <v>585</v>
      </c>
      <c r="B281" t="s">
        <v>586</v>
      </c>
      <c r="C281">
        <v>27</v>
      </c>
      <c r="D281" t="s">
        <v>19</v>
      </c>
      <c r="E281" s="2">
        <v>45853</v>
      </c>
      <c r="F281" s="2">
        <v>45863</v>
      </c>
      <c r="G281" t="s">
        <v>61</v>
      </c>
      <c r="H281" t="s">
        <v>75</v>
      </c>
      <c r="I281" s="3">
        <v>16726.009999999998</v>
      </c>
      <c r="J281" s="4">
        <v>80</v>
      </c>
      <c r="K281" t="s">
        <v>16</v>
      </c>
      <c r="L281" t="str" cm="1">
        <f t="array" ref="L281">_xlfn.IFS(C281&lt;18,"under 18",C281&lt;36,"btw 18 &amp; 35",C281&lt;51,"btw 36 &amp;50",C281&lt;66,"btw 51 &amp; 66",C281&gt;66,"66 &amp; above")</f>
        <v>btw 18 &amp; 35</v>
      </c>
      <c r="M281">
        <f t="shared" si="5"/>
        <v>10</v>
      </c>
    </row>
    <row r="282" spans="1:13" x14ac:dyDescent="0.25">
      <c r="A282" t="s">
        <v>587</v>
      </c>
      <c r="B282" t="s">
        <v>588</v>
      </c>
      <c r="C282">
        <v>85</v>
      </c>
      <c r="D282" t="s">
        <v>19</v>
      </c>
      <c r="E282" s="2">
        <v>45547</v>
      </c>
      <c r="F282" s="2">
        <v>45553</v>
      </c>
      <c r="G282" t="s">
        <v>14</v>
      </c>
      <c r="H282" t="s">
        <v>112</v>
      </c>
      <c r="I282" s="3">
        <v>17937.11</v>
      </c>
      <c r="J282" s="4">
        <v>70</v>
      </c>
      <c r="K282" t="s">
        <v>26</v>
      </c>
      <c r="L282" t="str" cm="1">
        <f t="array" ref="L282">_xlfn.IFS(C282&lt;18,"under 18",C282&lt;36,"btw 18 &amp; 35",C282&lt;51,"btw 36 &amp;50",C282&lt;66,"btw 51 &amp; 66",C282&gt;66,"66 &amp; above")</f>
        <v>66 &amp; above</v>
      </c>
      <c r="M282">
        <f t="shared" si="5"/>
        <v>6</v>
      </c>
    </row>
    <row r="283" spans="1:13" x14ac:dyDescent="0.25">
      <c r="A283" t="s">
        <v>589</v>
      </c>
      <c r="B283" t="s">
        <v>590</v>
      </c>
      <c r="C283">
        <v>33</v>
      </c>
      <c r="D283" t="s">
        <v>13</v>
      </c>
      <c r="E283" s="2">
        <v>45601</v>
      </c>
      <c r="F283" s="2">
        <v>45615</v>
      </c>
      <c r="G283" t="s">
        <v>61</v>
      </c>
      <c r="H283" t="s">
        <v>143</v>
      </c>
      <c r="I283" s="3">
        <v>27571.59</v>
      </c>
      <c r="J283" s="4">
        <v>90</v>
      </c>
      <c r="K283" t="s">
        <v>16</v>
      </c>
      <c r="L283" t="str" cm="1">
        <f t="array" ref="L283">_xlfn.IFS(C283&lt;18,"under 18",C283&lt;36,"btw 18 &amp; 35",C283&lt;51,"btw 36 &amp;50",C283&lt;66,"btw 51 &amp; 66",C283&gt;66,"66 &amp; above")</f>
        <v>btw 18 &amp; 35</v>
      </c>
      <c r="M283">
        <f t="shared" si="5"/>
        <v>14</v>
      </c>
    </row>
    <row r="284" spans="1:13" x14ac:dyDescent="0.25">
      <c r="A284" t="s">
        <v>591</v>
      </c>
      <c r="B284" t="s">
        <v>102</v>
      </c>
      <c r="C284">
        <v>83</v>
      </c>
      <c r="D284" t="s">
        <v>19</v>
      </c>
      <c r="E284" s="2">
        <v>45589</v>
      </c>
      <c r="F284" s="2">
        <v>45595</v>
      </c>
      <c r="G284" t="s">
        <v>14</v>
      </c>
      <c r="H284" t="s">
        <v>112</v>
      </c>
      <c r="I284" s="3">
        <v>13621.44</v>
      </c>
      <c r="J284" s="4">
        <v>70</v>
      </c>
      <c r="K284" t="s">
        <v>26</v>
      </c>
      <c r="L284" t="str" cm="1">
        <f t="array" ref="L284">_xlfn.IFS(C284&lt;18,"under 18",C284&lt;36,"btw 18 &amp; 35",C284&lt;51,"btw 36 &amp;50",C284&lt;66,"btw 51 &amp; 66",C284&gt;66,"66 &amp; above")</f>
        <v>66 &amp; above</v>
      </c>
      <c r="M284">
        <f t="shared" si="5"/>
        <v>6</v>
      </c>
    </row>
    <row r="285" spans="1:13" x14ac:dyDescent="0.25">
      <c r="A285" t="s">
        <v>592</v>
      </c>
      <c r="B285" t="s">
        <v>593</v>
      </c>
      <c r="C285">
        <v>54</v>
      </c>
      <c r="D285" t="s">
        <v>13</v>
      </c>
      <c r="E285" s="2">
        <v>45579</v>
      </c>
      <c r="F285" s="2">
        <v>45584</v>
      </c>
      <c r="G285" t="s">
        <v>71</v>
      </c>
      <c r="H285" t="s">
        <v>296</v>
      </c>
      <c r="I285" s="3">
        <v>7553.52</v>
      </c>
      <c r="J285" s="4">
        <v>50</v>
      </c>
      <c r="K285" t="s">
        <v>16</v>
      </c>
      <c r="L285" t="str" cm="1">
        <f t="array" ref="L285">_xlfn.IFS(C285&lt;18,"under 18",C285&lt;36,"btw 18 &amp; 35",C285&lt;51,"btw 36 &amp;50",C285&lt;66,"btw 51 &amp; 66",C285&gt;66,"66 &amp; above")</f>
        <v>btw 51 &amp; 66</v>
      </c>
      <c r="M285">
        <f t="shared" si="5"/>
        <v>5</v>
      </c>
    </row>
    <row r="286" spans="1:13" x14ac:dyDescent="0.25">
      <c r="A286" t="s">
        <v>594</v>
      </c>
      <c r="B286" t="s">
        <v>595</v>
      </c>
      <c r="C286">
        <v>53</v>
      </c>
      <c r="D286" t="s">
        <v>19</v>
      </c>
      <c r="E286" s="2">
        <v>45612</v>
      </c>
      <c r="F286" s="2">
        <v>45625</v>
      </c>
      <c r="G286" t="s">
        <v>61</v>
      </c>
      <c r="H286" t="s">
        <v>134</v>
      </c>
      <c r="I286" s="3">
        <v>34671.78</v>
      </c>
      <c r="J286" s="4">
        <v>60</v>
      </c>
      <c r="K286" t="s">
        <v>16</v>
      </c>
      <c r="L286" t="str" cm="1">
        <f t="array" ref="L286">_xlfn.IFS(C286&lt;18,"under 18",C286&lt;36,"btw 18 &amp; 35",C286&lt;51,"btw 36 &amp;50",C286&lt;66,"btw 51 &amp; 66",C286&gt;66,"66 &amp; above")</f>
        <v>btw 51 &amp; 66</v>
      </c>
      <c r="M286">
        <f t="shared" si="5"/>
        <v>13</v>
      </c>
    </row>
    <row r="287" spans="1:13" x14ac:dyDescent="0.25">
      <c r="A287" t="s">
        <v>596</v>
      </c>
      <c r="B287" t="s">
        <v>597</v>
      </c>
      <c r="C287">
        <v>81</v>
      </c>
      <c r="D287" t="s">
        <v>13</v>
      </c>
      <c r="E287" s="2">
        <v>45868</v>
      </c>
      <c r="F287" s="2">
        <v>45873</v>
      </c>
      <c r="G287" t="s">
        <v>14</v>
      </c>
      <c r="H287" t="s">
        <v>112</v>
      </c>
      <c r="I287" s="3">
        <v>13674.29</v>
      </c>
      <c r="J287" s="4">
        <v>80</v>
      </c>
      <c r="K287" t="s">
        <v>16</v>
      </c>
      <c r="L287" t="str" cm="1">
        <f t="array" ref="L287">_xlfn.IFS(C287&lt;18,"under 18",C287&lt;36,"btw 18 &amp; 35",C287&lt;51,"btw 36 &amp;50",C287&lt;66,"btw 51 &amp; 66",C287&gt;66,"66 &amp; above")</f>
        <v>66 &amp; above</v>
      </c>
      <c r="M287">
        <f t="shared" si="5"/>
        <v>5</v>
      </c>
    </row>
    <row r="288" spans="1:13" x14ac:dyDescent="0.25">
      <c r="A288" t="s">
        <v>598</v>
      </c>
      <c r="B288" t="s">
        <v>599</v>
      </c>
      <c r="C288">
        <v>31</v>
      </c>
      <c r="D288" t="s">
        <v>19</v>
      </c>
      <c r="E288" s="2">
        <v>45706</v>
      </c>
      <c r="F288" s="2">
        <v>45716</v>
      </c>
      <c r="G288" t="s">
        <v>71</v>
      </c>
      <c r="H288" t="s">
        <v>158</v>
      </c>
      <c r="I288" s="3">
        <v>18872.25</v>
      </c>
      <c r="J288" s="4">
        <v>100</v>
      </c>
      <c r="K288" t="s">
        <v>16</v>
      </c>
      <c r="L288" t="str" cm="1">
        <f t="array" ref="L288">_xlfn.IFS(C288&lt;18,"under 18",C288&lt;36,"btw 18 &amp; 35",C288&lt;51,"btw 36 &amp;50",C288&lt;66,"btw 51 &amp; 66",C288&gt;66,"66 &amp; above")</f>
        <v>btw 18 &amp; 35</v>
      </c>
      <c r="M288">
        <f t="shared" si="5"/>
        <v>10</v>
      </c>
    </row>
    <row r="289" spans="1:13" x14ac:dyDescent="0.25">
      <c r="A289" t="s">
        <v>600</v>
      </c>
      <c r="B289" t="s">
        <v>601</v>
      </c>
      <c r="C289">
        <v>22</v>
      </c>
      <c r="D289" t="s">
        <v>13</v>
      </c>
      <c r="E289" s="2">
        <v>45648</v>
      </c>
      <c r="F289" s="2">
        <v>45654</v>
      </c>
      <c r="G289" t="s">
        <v>32</v>
      </c>
      <c r="H289" t="s">
        <v>45</v>
      </c>
      <c r="I289" s="3">
        <v>8363.1</v>
      </c>
      <c r="J289" s="4">
        <v>60</v>
      </c>
      <c r="K289" t="s">
        <v>26</v>
      </c>
      <c r="L289" t="str" cm="1">
        <f t="array" ref="L289">_xlfn.IFS(C289&lt;18,"under 18",C289&lt;36,"btw 18 &amp; 35",C289&lt;51,"btw 36 &amp;50",C289&lt;66,"btw 51 &amp; 66",C289&gt;66,"66 &amp; above")</f>
        <v>btw 18 &amp; 35</v>
      </c>
      <c r="M289">
        <f t="shared" si="5"/>
        <v>6</v>
      </c>
    </row>
    <row r="290" spans="1:13" x14ac:dyDescent="0.25">
      <c r="A290" t="s">
        <v>602</v>
      </c>
      <c r="B290" t="s">
        <v>603</v>
      </c>
      <c r="C290">
        <v>1</v>
      </c>
      <c r="D290" t="s">
        <v>13</v>
      </c>
      <c r="E290" s="2">
        <v>45990</v>
      </c>
      <c r="F290" s="2">
        <v>45993</v>
      </c>
      <c r="G290" t="s">
        <v>50</v>
      </c>
      <c r="H290" t="s">
        <v>121</v>
      </c>
      <c r="I290" s="3">
        <v>3886.44</v>
      </c>
      <c r="J290" s="4">
        <v>90</v>
      </c>
      <c r="K290" t="s">
        <v>16</v>
      </c>
      <c r="L290" t="str" cm="1">
        <f t="array" ref="L290">_xlfn.IFS(C290&lt;18,"under 18",C290&lt;36,"btw 18 &amp; 35",C290&lt;51,"btw 36 &amp;50",C290&lt;66,"btw 51 &amp; 66",C290&gt;66,"66 &amp; above")</f>
        <v>under 18</v>
      </c>
      <c r="M290">
        <f t="shared" si="5"/>
        <v>3</v>
      </c>
    </row>
    <row r="291" spans="1:13" x14ac:dyDescent="0.25">
      <c r="A291" t="s">
        <v>604</v>
      </c>
      <c r="B291" t="s">
        <v>605</v>
      </c>
      <c r="C291">
        <v>52</v>
      </c>
      <c r="D291" t="s">
        <v>13</v>
      </c>
      <c r="E291" s="2">
        <v>45929</v>
      </c>
      <c r="F291" s="2">
        <v>45931</v>
      </c>
      <c r="G291" t="s">
        <v>32</v>
      </c>
      <c r="H291" t="s">
        <v>88</v>
      </c>
      <c r="I291" s="3">
        <v>2780.94</v>
      </c>
      <c r="J291" s="4">
        <v>80</v>
      </c>
      <c r="K291" t="s">
        <v>16</v>
      </c>
      <c r="L291" t="str" cm="1">
        <f t="array" ref="L291">_xlfn.IFS(C291&lt;18,"under 18",C291&lt;36,"btw 18 &amp; 35",C291&lt;51,"btw 36 &amp;50",C291&lt;66,"btw 51 &amp; 66",C291&gt;66,"66 &amp; above")</f>
        <v>btw 51 &amp; 66</v>
      </c>
      <c r="M291">
        <f t="shared" si="5"/>
        <v>2</v>
      </c>
    </row>
    <row r="292" spans="1:13" x14ac:dyDescent="0.25">
      <c r="A292" t="s">
        <v>606</v>
      </c>
      <c r="B292" t="s">
        <v>607</v>
      </c>
      <c r="C292">
        <v>11</v>
      </c>
      <c r="D292" t="s">
        <v>13</v>
      </c>
      <c r="E292" s="2">
        <v>45399</v>
      </c>
      <c r="F292" s="2">
        <v>45400</v>
      </c>
      <c r="G292" t="s">
        <v>50</v>
      </c>
      <c r="H292" t="s">
        <v>51</v>
      </c>
      <c r="I292" s="3">
        <v>1277.56</v>
      </c>
      <c r="J292" s="4">
        <v>70</v>
      </c>
      <c r="K292" t="s">
        <v>21</v>
      </c>
      <c r="L292" t="str" cm="1">
        <f t="array" ref="L292">_xlfn.IFS(C292&lt;18,"under 18",C292&lt;36,"btw 18 &amp; 35",C292&lt;51,"btw 36 &amp;50",C292&lt;66,"btw 51 &amp; 66",C292&gt;66,"66 &amp; above")</f>
        <v>under 18</v>
      </c>
      <c r="M292">
        <f t="shared" si="5"/>
        <v>1</v>
      </c>
    </row>
    <row r="293" spans="1:13" x14ac:dyDescent="0.25">
      <c r="A293" t="s">
        <v>608</v>
      </c>
      <c r="B293" t="s">
        <v>609</v>
      </c>
      <c r="C293">
        <v>6</v>
      </c>
      <c r="D293" t="s">
        <v>19</v>
      </c>
      <c r="E293" s="2">
        <v>45343</v>
      </c>
      <c r="F293" s="2">
        <v>45346</v>
      </c>
      <c r="G293" t="s">
        <v>50</v>
      </c>
      <c r="H293" t="s">
        <v>131</v>
      </c>
      <c r="I293" s="3">
        <v>2921.29</v>
      </c>
      <c r="J293" s="4">
        <v>50</v>
      </c>
      <c r="K293" t="s">
        <v>26</v>
      </c>
      <c r="L293" t="str" cm="1">
        <f t="array" ref="L293">_xlfn.IFS(C293&lt;18,"under 18",C293&lt;36,"btw 18 &amp; 35",C293&lt;51,"btw 36 &amp;50",C293&lt;66,"btw 51 &amp; 66",C293&gt;66,"66 &amp; above")</f>
        <v>under 18</v>
      </c>
      <c r="M293">
        <f t="shared" si="5"/>
        <v>3</v>
      </c>
    </row>
    <row r="294" spans="1:13" x14ac:dyDescent="0.25">
      <c r="A294" t="s">
        <v>610</v>
      </c>
      <c r="B294" t="s">
        <v>611</v>
      </c>
      <c r="C294">
        <v>74</v>
      </c>
      <c r="D294" t="s">
        <v>19</v>
      </c>
      <c r="E294" s="2">
        <v>45486</v>
      </c>
      <c r="F294" s="2">
        <v>45489</v>
      </c>
      <c r="G294" t="s">
        <v>24</v>
      </c>
      <c r="H294" t="s">
        <v>29</v>
      </c>
      <c r="I294" s="3">
        <v>4516.54</v>
      </c>
      <c r="J294" s="4">
        <v>70</v>
      </c>
      <c r="K294" t="s">
        <v>21</v>
      </c>
      <c r="L294" t="str" cm="1">
        <f t="array" ref="L294">_xlfn.IFS(C294&lt;18,"under 18",C294&lt;36,"btw 18 &amp; 35",C294&lt;51,"btw 36 &amp;50",C294&lt;66,"btw 51 &amp; 66",C294&gt;66,"66 &amp; above")</f>
        <v>66 &amp; above</v>
      </c>
      <c r="M294">
        <f t="shared" si="5"/>
        <v>3</v>
      </c>
    </row>
    <row r="295" spans="1:13" x14ac:dyDescent="0.25">
      <c r="A295" t="s">
        <v>612</v>
      </c>
      <c r="B295" t="s">
        <v>613</v>
      </c>
      <c r="C295">
        <v>37</v>
      </c>
      <c r="D295" t="s">
        <v>19</v>
      </c>
      <c r="E295" s="2">
        <v>45372</v>
      </c>
      <c r="F295" s="2">
        <v>45385</v>
      </c>
      <c r="G295" t="s">
        <v>61</v>
      </c>
      <c r="H295" t="s">
        <v>134</v>
      </c>
      <c r="I295" s="3">
        <v>15943.22</v>
      </c>
      <c r="J295" s="4">
        <v>80</v>
      </c>
      <c r="K295" t="s">
        <v>16</v>
      </c>
      <c r="L295" t="str" cm="1">
        <f t="array" ref="L295">_xlfn.IFS(C295&lt;18,"under 18",C295&lt;36,"btw 18 &amp; 35",C295&lt;51,"btw 36 &amp;50",C295&lt;66,"btw 51 &amp; 66",C295&gt;66,"66 &amp; above")</f>
        <v>btw 36 &amp;50</v>
      </c>
      <c r="M295">
        <f t="shared" si="5"/>
        <v>13</v>
      </c>
    </row>
    <row r="296" spans="1:13" x14ac:dyDescent="0.25">
      <c r="A296" t="s">
        <v>614</v>
      </c>
      <c r="B296" t="s">
        <v>184</v>
      </c>
      <c r="C296">
        <v>84</v>
      </c>
      <c r="D296" t="s">
        <v>19</v>
      </c>
      <c r="E296" s="2">
        <v>45443</v>
      </c>
      <c r="F296" s="2">
        <v>45446</v>
      </c>
      <c r="G296" t="s">
        <v>14</v>
      </c>
      <c r="H296" t="s">
        <v>20</v>
      </c>
      <c r="I296" s="3">
        <v>6113</v>
      </c>
      <c r="J296" s="4">
        <v>80</v>
      </c>
      <c r="K296" t="s">
        <v>16</v>
      </c>
      <c r="L296" t="str" cm="1">
        <f t="array" ref="L296">_xlfn.IFS(C296&lt;18,"under 18",C296&lt;36,"btw 18 &amp; 35",C296&lt;51,"btw 36 &amp;50",C296&lt;66,"btw 51 &amp; 66",C296&gt;66,"66 &amp; above")</f>
        <v>66 &amp; above</v>
      </c>
      <c r="M296">
        <f t="shared" si="5"/>
        <v>3</v>
      </c>
    </row>
    <row r="297" spans="1:13" x14ac:dyDescent="0.25">
      <c r="A297" t="s">
        <v>615</v>
      </c>
      <c r="B297" t="s">
        <v>517</v>
      </c>
      <c r="C297">
        <v>70</v>
      </c>
      <c r="D297" t="s">
        <v>13</v>
      </c>
      <c r="E297" s="2">
        <v>45507</v>
      </c>
      <c r="F297" s="2">
        <v>45510</v>
      </c>
      <c r="G297" t="s">
        <v>24</v>
      </c>
      <c r="H297" t="s">
        <v>42</v>
      </c>
      <c r="I297" s="3">
        <v>4356.16</v>
      </c>
      <c r="J297" s="4">
        <v>0</v>
      </c>
      <c r="K297" t="s">
        <v>16</v>
      </c>
      <c r="L297" t="str" cm="1">
        <f t="array" ref="L297">_xlfn.IFS(C297&lt;18,"under 18",C297&lt;36,"btw 18 &amp; 35",C297&lt;51,"btw 36 &amp;50",C297&lt;66,"btw 51 &amp; 66",C297&gt;66,"66 &amp; above")</f>
        <v>66 &amp; above</v>
      </c>
      <c r="M297">
        <f t="shared" si="5"/>
        <v>3</v>
      </c>
    </row>
    <row r="298" spans="1:13" x14ac:dyDescent="0.25">
      <c r="A298" t="s">
        <v>616</v>
      </c>
      <c r="B298" t="s">
        <v>617</v>
      </c>
      <c r="C298">
        <v>18</v>
      </c>
      <c r="D298" t="s">
        <v>13</v>
      </c>
      <c r="E298" s="2">
        <v>45794</v>
      </c>
      <c r="F298" s="2">
        <v>45797</v>
      </c>
      <c r="G298" t="s">
        <v>24</v>
      </c>
      <c r="H298" t="s">
        <v>25</v>
      </c>
      <c r="I298" s="3">
        <v>2810.17</v>
      </c>
      <c r="J298" s="4">
        <v>90</v>
      </c>
      <c r="K298" t="s">
        <v>16</v>
      </c>
      <c r="L298" t="str" cm="1">
        <f t="array" ref="L298">_xlfn.IFS(C298&lt;18,"under 18",C298&lt;36,"btw 18 &amp; 35",C298&lt;51,"btw 36 &amp;50",C298&lt;66,"btw 51 &amp; 66",C298&gt;66,"66 &amp; above")</f>
        <v>btw 18 &amp; 35</v>
      </c>
      <c r="M298">
        <f t="shared" si="5"/>
        <v>3</v>
      </c>
    </row>
    <row r="299" spans="1:13" x14ac:dyDescent="0.25">
      <c r="A299" t="s">
        <v>618</v>
      </c>
      <c r="B299" t="s">
        <v>619</v>
      </c>
      <c r="C299">
        <v>41</v>
      </c>
      <c r="D299" t="s">
        <v>19</v>
      </c>
      <c r="E299" s="2">
        <v>45559</v>
      </c>
      <c r="F299" s="2">
        <v>45563</v>
      </c>
      <c r="G299" t="s">
        <v>32</v>
      </c>
      <c r="H299" t="s">
        <v>88</v>
      </c>
      <c r="I299" s="3">
        <v>3049.69</v>
      </c>
      <c r="J299" s="4">
        <v>60</v>
      </c>
      <c r="K299" t="s">
        <v>16</v>
      </c>
      <c r="L299" t="str" cm="1">
        <f t="array" ref="L299">_xlfn.IFS(C299&lt;18,"under 18",C299&lt;36,"btw 18 &amp; 35",C299&lt;51,"btw 36 &amp;50",C299&lt;66,"btw 51 &amp; 66",C299&gt;66,"66 &amp; above")</f>
        <v>btw 36 &amp;50</v>
      </c>
      <c r="M299">
        <f t="shared" si="5"/>
        <v>4</v>
      </c>
    </row>
    <row r="300" spans="1:13" x14ac:dyDescent="0.25">
      <c r="A300" t="s">
        <v>620</v>
      </c>
      <c r="B300" t="s">
        <v>621</v>
      </c>
      <c r="C300">
        <v>70</v>
      </c>
      <c r="D300" t="s">
        <v>19</v>
      </c>
      <c r="E300" s="2">
        <v>45763</v>
      </c>
      <c r="F300" s="2">
        <v>45766</v>
      </c>
      <c r="G300" t="s">
        <v>32</v>
      </c>
      <c r="H300" t="s">
        <v>88</v>
      </c>
      <c r="I300" s="3">
        <v>2096.4899999999998</v>
      </c>
      <c r="J300" s="4">
        <v>60</v>
      </c>
      <c r="K300" t="s">
        <v>21</v>
      </c>
      <c r="L300" t="str" cm="1">
        <f t="array" ref="L300">_xlfn.IFS(C300&lt;18,"under 18",C300&lt;36,"btw 18 &amp; 35",C300&lt;51,"btw 36 &amp;50",C300&lt;66,"btw 51 &amp; 66",C300&gt;66,"66 &amp; above")</f>
        <v>66 &amp; above</v>
      </c>
      <c r="M300">
        <f t="shared" si="5"/>
        <v>3</v>
      </c>
    </row>
    <row r="301" spans="1:13" x14ac:dyDescent="0.25">
      <c r="A301" t="s">
        <v>622</v>
      </c>
      <c r="B301" t="s">
        <v>623</v>
      </c>
      <c r="C301">
        <v>44</v>
      </c>
      <c r="D301" t="s">
        <v>19</v>
      </c>
      <c r="E301" s="2">
        <v>45905</v>
      </c>
      <c r="F301" s="2">
        <v>45910</v>
      </c>
      <c r="G301" t="s">
        <v>61</v>
      </c>
      <c r="H301" t="s">
        <v>98</v>
      </c>
      <c r="I301" s="3">
        <v>12341.99</v>
      </c>
      <c r="J301" s="4">
        <v>70</v>
      </c>
      <c r="K301" t="s">
        <v>16</v>
      </c>
      <c r="L301" t="str" cm="1">
        <f t="array" ref="L301">_xlfn.IFS(C301&lt;18,"under 18",C301&lt;36,"btw 18 &amp; 35",C301&lt;51,"btw 36 &amp;50",C301&lt;66,"btw 51 &amp; 66",C301&gt;66,"66 &amp; above")</f>
        <v>btw 36 &amp;50</v>
      </c>
      <c r="M301">
        <f t="shared" si="5"/>
        <v>5</v>
      </c>
    </row>
    <row r="302" spans="1:13" x14ac:dyDescent="0.25">
      <c r="A302" t="s">
        <v>624</v>
      </c>
      <c r="B302" t="s">
        <v>625</v>
      </c>
      <c r="C302">
        <v>31</v>
      </c>
      <c r="D302" t="s">
        <v>13</v>
      </c>
      <c r="E302" s="2">
        <v>45882</v>
      </c>
      <c r="F302" s="2">
        <v>45885</v>
      </c>
      <c r="G302" t="s">
        <v>24</v>
      </c>
      <c r="H302" t="s">
        <v>334</v>
      </c>
      <c r="I302" s="3">
        <v>3445.79</v>
      </c>
      <c r="J302" s="4">
        <v>90</v>
      </c>
      <c r="K302" t="s">
        <v>16</v>
      </c>
      <c r="L302" t="str" cm="1">
        <f t="array" ref="L302">_xlfn.IFS(C302&lt;18,"under 18",C302&lt;36,"btw 18 &amp; 35",C302&lt;51,"btw 36 &amp;50",C302&lt;66,"btw 51 &amp; 66",C302&gt;66,"66 &amp; above")</f>
        <v>btw 18 &amp; 35</v>
      </c>
      <c r="M302">
        <f t="shared" si="5"/>
        <v>3</v>
      </c>
    </row>
    <row r="303" spans="1:13" x14ac:dyDescent="0.25">
      <c r="A303" t="s">
        <v>626</v>
      </c>
      <c r="B303" t="s">
        <v>627</v>
      </c>
      <c r="C303">
        <v>68</v>
      </c>
      <c r="D303" t="s">
        <v>19</v>
      </c>
      <c r="E303" s="2">
        <v>45395</v>
      </c>
      <c r="F303" s="2">
        <v>45398</v>
      </c>
      <c r="G303" t="s">
        <v>14</v>
      </c>
      <c r="H303" t="s">
        <v>112</v>
      </c>
      <c r="I303" s="3">
        <v>4176.93</v>
      </c>
      <c r="J303" s="4">
        <v>0</v>
      </c>
      <c r="K303" t="s">
        <v>16</v>
      </c>
      <c r="L303" t="str" cm="1">
        <f t="array" ref="L303">_xlfn.IFS(C303&lt;18,"under 18",C303&lt;36,"btw 18 &amp; 35",C303&lt;51,"btw 36 &amp;50",C303&lt;66,"btw 51 &amp; 66",C303&gt;66,"66 &amp; above")</f>
        <v>66 &amp; above</v>
      </c>
      <c r="M303">
        <f t="shared" si="5"/>
        <v>3</v>
      </c>
    </row>
    <row r="304" spans="1:13" x14ac:dyDescent="0.25">
      <c r="A304" t="s">
        <v>628</v>
      </c>
      <c r="B304" t="s">
        <v>629</v>
      </c>
      <c r="C304">
        <v>50</v>
      </c>
      <c r="D304" t="s">
        <v>13</v>
      </c>
      <c r="E304" s="2">
        <v>46019</v>
      </c>
      <c r="F304" s="2">
        <v>46024</v>
      </c>
      <c r="G304" t="s">
        <v>14</v>
      </c>
      <c r="H304" t="s">
        <v>103</v>
      </c>
      <c r="I304" s="3">
        <v>10022.5</v>
      </c>
      <c r="J304" s="4">
        <v>70</v>
      </c>
      <c r="K304" t="s">
        <v>21</v>
      </c>
      <c r="L304" t="str" cm="1">
        <f t="array" ref="L304">_xlfn.IFS(C304&lt;18,"under 18",C304&lt;36,"btw 18 &amp; 35",C304&lt;51,"btw 36 &amp;50",C304&lt;66,"btw 51 &amp; 66",C304&gt;66,"66 &amp; above")</f>
        <v>btw 36 &amp;50</v>
      </c>
      <c r="M304">
        <f t="shared" si="5"/>
        <v>5</v>
      </c>
    </row>
    <row r="305" spans="1:13" x14ac:dyDescent="0.25">
      <c r="A305" t="s">
        <v>630</v>
      </c>
      <c r="B305" t="s">
        <v>631</v>
      </c>
      <c r="C305">
        <v>57</v>
      </c>
      <c r="D305" t="s">
        <v>13</v>
      </c>
      <c r="E305" s="2">
        <v>45342</v>
      </c>
      <c r="F305" s="2">
        <v>45349</v>
      </c>
      <c r="G305" t="s">
        <v>71</v>
      </c>
      <c r="H305" t="s">
        <v>158</v>
      </c>
      <c r="I305" s="3">
        <v>13346.03</v>
      </c>
      <c r="J305" s="4">
        <v>60</v>
      </c>
      <c r="K305" t="s">
        <v>16</v>
      </c>
      <c r="L305" t="str" cm="1">
        <f t="array" ref="L305">_xlfn.IFS(C305&lt;18,"under 18",C305&lt;36,"btw 18 &amp; 35",C305&lt;51,"btw 36 &amp;50",C305&lt;66,"btw 51 &amp; 66",C305&gt;66,"66 &amp; above")</f>
        <v>btw 51 &amp; 66</v>
      </c>
      <c r="M305">
        <f t="shared" si="5"/>
        <v>7</v>
      </c>
    </row>
    <row r="306" spans="1:13" x14ac:dyDescent="0.25">
      <c r="A306" t="s">
        <v>632</v>
      </c>
      <c r="B306" t="s">
        <v>329</v>
      </c>
      <c r="C306">
        <v>67</v>
      </c>
      <c r="D306" t="s">
        <v>19</v>
      </c>
      <c r="E306" s="2">
        <v>45912</v>
      </c>
      <c r="F306" s="2">
        <v>45918</v>
      </c>
      <c r="G306" t="s">
        <v>61</v>
      </c>
      <c r="H306" t="s">
        <v>98</v>
      </c>
      <c r="I306" s="3">
        <v>12949.84</v>
      </c>
      <c r="J306" s="4">
        <v>80</v>
      </c>
      <c r="K306" t="s">
        <v>16</v>
      </c>
      <c r="L306" t="str" cm="1">
        <f t="array" ref="L306">_xlfn.IFS(C306&lt;18,"under 18",C306&lt;36,"btw 18 &amp; 35",C306&lt;51,"btw 36 &amp;50",C306&lt;66,"btw 51 &amp; 66",C306&gt;66,"66 &amp; above")</f>
        <v>66 &amp; above</v>
      </c>
      <c r="M306">
        <f t="shared" si="5"/>
        <v>6</v>
      </c>
    </row>
    <row r="307" spans="1:13" x14ac:dyDescent="0.25">
      <c r="A307" t="s">
        <v>633</v>
      </c>
      <c r="B307" t="s">
        <v>634</v>
      </c>
      <c r="C307">
        <v>76</v>
      </c>
      <c r="D307" t="s">
        <v>19</v>
      </c>
      <c r="E307" s="2">
        <v>45744</v>
      </c>
      <c r="F307" s="2">
        <v>45747</v>
      </c>
      <c r="G307" t="s">
        <v>71</v>
      </c>
      <c r="H307" t="s">
        <v>72</v>
      </c>
      <c r="I307" s="3">
        <v>5780.36</v>
      </c>
      <c r="J307" s="4">
        <v>90</v>
      </c>
      <c r="K307" t="s">
        <v>26</v>
      </c>
      <c r="L307" t="str" cm="1">
        <f t="array" ref="L307">_xlfn.IFS(C307&lt;18,"under 18",C307&lt;36,"btw 18 &amp; 35",C307&lt;51,"btw 36 &amp;50",C307&lt;66,"btw 51 &amp; 66",C307&gt;66,"66 &amp; above")</f>
        <v>66 &amp; above</v>
      </c>
      <c r="M307">
        <f t="shared" si="5"/>
        <v>3</v>
      </c>
    </row>
    <row r="308" spans="1:13" x14ac:dyDescent="0.25">
      <c r="A308" t="s">
        <v>635</v>
      </c>
      <c r="B308" t="s">
        <v>636</v>
      </c>
      <c r="C308">
        <v>25</v>
      </c>
      <c r="D308" t="s">
        <v>13</v>
      </c>
      <c r="E308" s="2">
        <v>45928</v>
      </c>
      <c r="F308" s="2">
        <v>45937</v>
      </c>
      <c r="G308" t="s">
        <v>61</v>
      </c>
      <c r="H308" t="s">
        <v>98</v>
      </c>
      <c r="I308" s="3">
        <v>12079.5</v>
      </c>
      <c r="J308" s="4">
        <v>60</v>
      </c>
      <c r="K308" t="s">
        <v>21</v>
      </c>
      <c r="L308" t="str" cm="1">
        <f t="array" ref="L308">_xlfn.IFS(C308&lt;18,"under 18",C308&lt;36,"btw 18 &amp; 35",C308&lt;51,"btw 36 &amp;50",C308&lt;66,"btw 51 &amp; 66",C308&gt;66,"66 &amp; above")</f>
        <v>btw 18 &amp; 35</v>
      </c>
      <c r="M308">
        <f t="shared" si="5"/>
        <v>9</v>
      </c>
    </row>
    <row r="309" spans="1:13" x14ac:dyDescent="0.25">
      <c r="A309" t="s">
        <v>637</v>
      </c>
      <c r="B309" t="s">
        <v>638</v>
      </c>
      <c r="C309">
        <v>40</v>
      </c>
      <c r="D309" t="s">
        <v>13</v>
      </c>
      <c r="E309" s="2">
        <v>45615</v>
      </c>
      <c r="F309" s="2">
        <v>45622</v>
      </c>
      <c r="G309" t="s">
        <v>32</v>
      </c>
      <c r="H309" t="s">
        <v>54</v>
      </c>
      <c r="I309" s="3">
        <v>7389.52</v>
      </c>
      <c r="J309" s="4">
        <v>80</v>
      </c>
      <c r="K309" t="s">
        <v>21</v>
      </c>
      <c r="L309" t="str" cm="1">
        <f t="array" ref="L309">_xlfn.IFS(C309&lt;18,"under 18",C309&lt;36,"btw 18 &amp; 35",C309&lt;51,"btw 36 &amp;50",C309&lt;66,"btw 51 &amp; 66",C309&gt;66,"66 &amp; above")</f>
        <v>btw 36 &amp;50</v>
      </c>
      <c r="M309">
        <f t="shared" si="5"/>
        <v>7</v>
      </c>
    </row>
    <row r="310" spans="1:13" x14ac:dyDescent="0.25">
      <c r="A310" t="s">
        <v>639</v>
      </c>
      <c r="B310" t="s">
        <v>640</v>
      </c>
      <c r="C310">
        <v>78</v>
      </c>
      <c r="D310" t="s">
        <v>13</v>
      </c>
      <c r="E310" s="2">
        <v>45888</v>
      </c>
      <c r="F310" s="2">
        <v>45891</v>
      </c>
      <c r="G310" t="s">
        <v>14</v>
      </c>
      <c r="H310" t="s">
        <v>15</v>
      </c>
      <c r="I310" s="3">
        <v>5108.6400000000003</v>
      </c>
      <c r="J310" s="4">
        <v>60</v>
      </c>
      <c r="K310" t="s">
        <v>21</v>
      </c>
      <c r="L310" t="str" cm="1">
        <f t="array" ref="L310">_xlfn.IFS(C310&lt;18,"under 18",C310&lt;36,"btw 18 &amp; 35",C310&lt;51,"btw 36 &amp;50",C310&lt;66,"btw 51 &amp; 66",C310&gt;66,"66 &amp; above")</f>
        <v>66 &amp; above</v>
      </c>
      <c r="M310">
        <f t="shared" si="5"/>
        <v>3</v>
      </c>
    </row>
    <row r="311" spans="1:13" x14ac:dyDescent="0.25">
      <c r="A311" t="s">
        <v>641</v>
      </c>
      <c r="B311" t="s">
        <v>642</v>
      </c>
      <c r="C311">
        <v>30</v>
      </c>
      <c r="D311" t="s">
        <v>13</v>
      </c>
      <c r="E311" s="2">
        <v>45436</v>
      </c>
      <c r="F311" s="2">
        <v>45438</v>
      </c>
      <c r="G311" t="s">
        <v>24</v>
      </c>
      <c r="H311" t="s">
        <v>42</v>
      </c>
      <c r="I311" s="3">
        <v>3176.54</v>
      </c>
      <c r="J311" s="4">
        <v>80</v>
      </c>
      <c r="K311" t="s">
        <v>16</v>
      </c>
      <c r="L311" t="str" cm="1">
        <f t="array" ref="L311">_xlfn.IFS(C311&lt;18,"under 18",C311&lt;36,"btw 18 &amp; 35",C311&lt;51,"btw 36 &amp;50",C311&lt;66,"btw 51 &amp; 66",C311&gt;66,"66 &amp; above")</f>
        <v>btw 18 &amp; 35</v>
      </c>
      <c r="M311">
        <f t="shared" si="5"/>
        <v>2</v>
      </c>
    </row>
    <row r="312" spans="1:13" x14ac:dyDescent="0.25">
      <c r="A312" t="s">
        <v>643</v>
      </c>
      <c r="B312" t="s">
        <v>644</v>
      </c>
      <c r="C312">
        <v>54</v>
      </c>
      <c r="D312" t="s">
        <v>13</v>
      </c>
      <c r="E312" s="2">
        <v>45544</v>
      </c>
      <c r="F312" s="2">
        <v>45552</v>
      </c>
      <c r="G312" t="s">
        <v>61</v>
      </c>
      <c r="H312" t="s">
        <v>134</v>
      </c>
      <c r="I312" s="3">
        <v>17049.400000000001</v>
      </c>
      <c r="J312" s="4">
        <v>100</v>
      </c>
      <c r="K312" t="s">
        <v>26</v>
      </c>
      <c r="L312" t="str" cm="1">
        <f t="array" ref="L312">_xlfn.IFS(C312&lt;18,"under 18",C312&lt;36,"btw 18 &amp; 35",C312&lt;51,"btw 36 &amp;50",C312&lt;66,"btw 51 &amp; 66",C312&gt;66,"66 &amp; above")</f>
        <v>btw 51 &amp; 66</v>
      </c>
      <c r="M312">
        <f t="shared" si="5"/>
        <v>8</v>
      </c>
    </row>
    <row r="313" spans="1:13" x14ac:dyDescent="0.25">
      <c r="A313" t="s">
        <v>645</v>
      </c>
      <c r="B313" t="s">
        <v>646</v>
      </c>
      <c r="C313">
        <v>67</v>
      </c>
      <c r="D313" t="s">
        <v>19</v>
      </c>
      <c r="E313" s="2">
        <v>45969</v>
      </c>
      <c r="F313" s="2">
        <v>45970</v>
      </c>
      <c r="G313" t="s">
        <v>24</v>
      </c>
      <c r="H313" t="s">
        <v>334</v>
      </c>
      <c r="I313" s="3">
        <v>1997.86</v>
      </c>
      <c r="J313" s="4">
        <v>70</v>
      </c>
      <c r="K313" t="s">
        <v>16</v>
      </c>
      <c r="L313" t="str" cm="1">
        <f t="array" ref="L313">_xlfn.IFS(C313&lt;18,"under 18",C313&lt;36,"btw 18 &amp; 35",C313&lt;51,"btw 36 &amp;50",C313&lt;66,"btw 51 &amp; 66",C313&gt;66,"66 &amp; above")</f>
        <v>66 &amp; above</v>
      </c>
      <c r="M313">
        <f t="shared" si="5"/>
        <v>1</v>
      </c>
    </row>
    <row r="314" spans="1:13" x14ac:dyDescent="0.25">
      <c r="A314" t="s">
        <v>647</v>
      </c>
      <c r="B314" t="s">
        <v>648</v>
      </c>
      <c r="C314">
        <v>43</v>
      </c>
      <c r="D314" t="s">
        <v>13</v>
      </c>
      <c r="E314" s="2">
        <v>45519</v>
      </c>
      <c r="F314" s="2">
        <v>45523</v>
      </c>
      <c r="G314" t="s">
        <v>32</v>
      </c>
      <c r="H314" t="s">
        <v>45</v>
      </c>
      <c r="I314" s="3">
        <v>4991.59</v>
      </c>
      <c r="J314" s="4">
        <v>0</v>
      </c>
      <c r="K314" t="s">
        <v>26</v>
      </c>
      <c r="L314" t="str" cm="1">
        <f t="array" ref="L314">_xlfn.IFS(C314&lt;18,"under 18",C314&lt;36,"btw 18 &amp; 35",C314&lt;51,"btw 36 &amp;50",C314&lt;66,"btw 51 &amp; 66",C314&gt;66,"66 &amp; above")</f>
        <v>btw 36 &amp;50</v>
      </c>
      <c r="M314">
        <f t="shared" si="5"/>
        <v>4</v>
      </c>
    </row>
    <row r="315" spans="1:13" x14ac:dyDescent="0.25">
      <c r="A315" t="s">
        <v>649</v>
      </c>
      <c r="B315" t="s">
        <v>650</v>
      </c>
      <c r="C315">
        <v>70</v>
      </c>
      <c r="D315" t="s">
        <v>19</v>
      </c>
      <c r="E315" s="2">
        <v>45524</v>
      </c>
      <c r="F315" s="2">
        <v>45533</v>
      </c>
      <c r="G315" t="s">
        <v>71</v>
      </c>
      <c r="H315" t="s">
        <v>158</v>
      </c>
      <c r="I315" s="3">
        <v>17095.62</v>
      </c>
      <c r="J315" s="4">
        <v>90</v>
      </c>
      <c r="K315" t="s">
        <v>16</v>
      </c>
      <c r="L315" t="str" cm="1">
        <f t="array" ref="L315">_xlfn.IFS(C315&lt;18,"under 18",C315&lt;36,"btw 18 &amp; 35",C315&lt;51,"btw 36 &amp;50",C315&lt;66,"btw 51 &amp; 66",C315&gt;66,"66 &amp; above")</f>
        <v>66 &amp; above</v>
      </c>
      <c r="M315">
        <f t="shared" si="5"/>
        <v>9</v>
      </c>
    </row>
    <row r="316" spans="1:13" x14ac:dyDescent="0.25">
      <c r="A316" t="s">
        <v>651</v>
      </c>
      <c r="B316" t="s">
        <v>652</v>
      </c>
      <c r="C316">
        <v>64</v>
      </c>
      <c r="D316" t="s">
        <v>13</v>
      </c>
      <c r="E316" s="2">
        <v>45887</v>
      </c>
      <c r="F316" s="2">
        <v>45889</v>
      </c>
      <c r="G316" t="s">
        <v>24</v>
      </c>
      <c r="H316" t="s">
        <v>205</v>
      </c>
      <c r="I316" s="3">
        <v>4730.04</v>
      </c>
      <c r="J316" s="4">
        <v>80</v>
      </c>
      <c r="K316" t="s">
        <v>16</v>
      </c>
      <c r="L316" t="str" cm="1">
        <f t="array" ref="L316">_xlfn.IFS(C316&lt;18,"under 18",C316&lt;36,"btw 18 &amp; 35",C316&lt;51,"btw 36 &amp;50",C316&lt;66,"btw 51 &amp; 66",C316&gt;66,"66 &amp; above")</f>
        <v>btw 51 &amp; 66</v>
      </c>
      <c r="M316">
        <f t="shared" si="5"/>
        <v>2</v>
      </c>
    </row>
    <row r="317" spans="1:13" x14ac:dyDescent="0.25">
      <c r="A317" t="s">
        <v>653</v>
      </c>
      <c r="B317" t="s">
        <v>526</v>
      </c>
      <c r="C317">
        <v>56</v>
      </c>
      <c r="D317" t="s">
        <v>13</v>
      </c>
      <c r="E317" s="2">
        <v>45559</v>
      </c>
      <c r="F317" s="2">
        <v>45566</v>
      </c>
      <c r="G317" t="s">
        <v>32</v>
      </c>
      <c r="H317" t="s">
        <v>33</v>
      </c>
      <c r="I317" s="3">
        <v>10303.59</v>
      </c>
      <c r="J317" s="4">
        <v>70</v>
      </c>
      <c r="K317" t="s">
        <v>21</v>
      </c>
      <c r="L317" t="str" cm="1">
        <f t="array" ref="L317">_xlfn.IFS(C317&lt;18,"under 18",C317&lt;36,"btw 18 &amp; 35",C317&lt;51,"btw 36 &amp;50",C317&lt;66,"btw 51 &amp; 66",C317&gt;66,"66 &amp; above")</f>
        <v>btw 51 &amp; 66</v>
      </c>
      <c r="M317">
        <f t="shared" si="5"/>
        <v>7</v>
      </c>
    </row>
    <row r="318" spans="1:13" x14ac:dyDescent="0.25">
      <c r="A318" t="s">
        <v>654</v>
      </c>
      <c r="B318" t="s">
        <v>655</v>
      </c>
      <c r="C318">
        <v>56</v>
      </c>
      <c r="D318" t="s">
        <v>13</v>
      </c>
      <c r="E318" s="2">
        <v>45447</v>
      </c>
      <c r="F318" s="2">
        <v>45453</v>
      </c>
      <c r="G318" t="s">
        <v>32</v>
      </c>
      <c r="H318" t="s">
        <v>115</v>
      </c>
      <c r="I318" s="3">
        <v>7120.81</v>
      </c>
      <c r="J318" s="4">
        <v>80</v>
      </c>
      <c r="K318" t="s">
        <v>26</v>
      </c>
      <c r="L318" t="str" cm="1">
        <f t="array" ref="L318">_xlfn.IFS(C318&lt;18,"under 18",C318&lt;36,"btw 18 &amp; 35",C318&lt;51,"btw 36 &amp;50",C318&lt;66,"btw 51 &amp; 66",C318&gt;66,"66 &amp; above")</f>
        <v>btw 51 &amp; 66</v>
      </c>
      <c r="M318">
        <f t="shared" si="5"/>
        <v>6</v>
      </c>
    </row>
    <row r="319" spans="1:13" x14ac:dyDescent="0.25">
      <c r="A319" t="s">
        <v>656</v>
      </c>
      <c r="B319" t="s">
        <v>652</v>
      </c>
      <c r="C319">
        <v>38</v>
      </c>
      <c r="D319" t="s">
        <v>13</v>
      </c>
      <c r="E319" s="2">
        <v>45850</v>
      </c>
      <c r="F319" s="2">
        <v>45851</v>
      </c>
      <c r="G319" t="s">
        <v>24</v>
      </c>
      <c r="H319" t="s">
        <v>42</v>
      </c>
      <c r="I319" s="3">
        <v>1418.29</v>
      </c>
      <c r="J319" s="4">
        <v>80</v>
      </c>
      <c r="K319" t="s">
        <v>16</v>
      </c>
      <c r="L319" t="str" cm="1">
        <f t="array" ref="L319">_xlfn.IFS(C319&lt;18,"under 18",C319&lt;36,"btw 18 &amp; 35",C319&lt;51,"btw 36 &amp;50",C319&lt;66,"btw 51 &amp; 66",C319&gt;66,"66 &amp; above")</f>
        <v>btw 36 &amp;50</v>
      </c>
      <c r="M319">
        <f t="shared" si="5"/>
        <v>1</v>
      </c>
    </row>
    <row r="320" spans="1:13" x14ac:dyDescent="0.25">
      <c r="A320" t="s">
        <v>657</v>
      </c>
      <c r="B320" t="s">
        <v>658</v>
      </c>
      <c r="C320">
        <v>77</v>
      </c>
      <c r="D320" t="s">
        <v>13</v>
      </c>
      <c r="E320" s="2">
        <v>45405</v>
      </c>
      <c r="F320" s="2">
        <v>45408</v>
      </c>
      <c r="G320" t="s">
        <v>24</v>
      </c>
      <c r="H320" t="s">
        <v>222</v>
      </c>
      <c r="I320" s="3">
        <v>4818.3999999999996</v>
      </c>
      <c r="J320" s="4">
        <v>60</v>
      </c>
      <c r="K320" t="s">
        <v>16</v>
      </c>
      <c r="L320" t="str" cm="1">
        <f t="array" ref="L320">_xlfn.IFS(C320&lt;18,"under 18",C320&lt;36,"btw 18 &amp; 35",C320&lt;51,"btw 36 &amp;50",C320&lt;66,"btw 51 &amp; 66",C320&gt;66,"66 &amp; above")</f>
        <v>66 &amp; above</v>
      </c>
      <c r="M320">
        <f t="shared" si="5"/>
        <v>3</v>
      </c>
    </row>
    <row r="321" spans="1:13" x14ac:dyDescent="0.25">
      <c r="A321" t="s">
        <v>659</v>
      </c>
      <c r="B321" t="s">
        <v>147</v>
      </c>
      <c r="C321">
        <v>51</v>
      </c>
      <c r="D321" t="s">
        <v>13</v>
      </c>
      <c r="E321" s="2">
        <v>45343</v>
      </c>
      <c r="F321" s="2">
        <v>45344</v>
      </c>
      <c r="G321" t="s">
        <v>24</v>
      </c>
      <c r="H321" t="s">
        <v>25</v>
      </c>
      <c r="I321" s="3">
        <v>1333.29</v>
      </c>
      <c r="J321" s="4">
        <v>70</v>
      </c>
      <c r="K321" t="s">
        <v>16</v>
      </c>
      <c r="L321" t="str" cm="1">
        <f t="array" ref="L321">_xlfn.IFS(C321&lt;18,"under 18",C321&lt;36,"btw 18 &amp; 35",C321&lt;51,"btw 36 &amp;50",C321&lt;66,"btw 51 &amp; 66",C321&gt;66,"66 &amp; above")</f>
        <v>btw 51 &amp; 66</v>
      </c>
      <c r="M321">
        <f t="shared" si="5"/>
        <v>1</v>
      </c>
    </row>
    <row r="322" spans="1:13" x14ac:dyDescent="0.25">
      <c r="A322" t="s">
        <v>660</v>
      </c>
      <c r="B322" t="s">
        <v>661</v>
      </c>
      <c r="C322">
        <v>34</v>
      </c>
      <c r="D322" t="s">
        <v>19</v>
      </c>
      <c r="E322" s="2">
        <v>45743</v>
      </c>
      <c r="F322" s="2">
        <v>45744</v>
      </c>
      <c r="G322" t="s">
        <v>24</v>
      </c>
      <c r="H322" t="s">
        <v>222</v>
      </c>
      <c r="I322" s="3">
        <v>1437.43</v>
      </c>
      <c r="J322" s="4">
        <v>100</v>
      </c>
      <c r="K322" t="s">
        <v>16</v>
      </c>
      <c r="L322" t="str" cm="1">
        <f t="array" ref="L322">_xlfn.IFS(C322&lt;18,"under 18",C322&lt;36,"btw 18 &amp; 35",C322&lt;51,"btw 36 &amp;50",C322&lt;66,"btw 51 &amp; 66",C322&gt;66,"66 &amp; above")</f>
        <v>btw 18 &amp; 35</v>
      </c>
      <c r="M322">
        <f t="shared" si="5"/>
        <v>1</v>
      </c>
    </row>
    <row r="323" spans="1:13" x14ac:dyDescent="0.25">
      <c r="A323" t="s">
        <v>662</v>
      </c>
      <c r="B323" t="s">
        <v>663</v>
      </c>
      <c r="C323">
        <v>64</v>
      </c>
      <c r="D323" t="s">
        <v>13</v>
      </c>
      <c r="E323" s="2">
        <v>45819</v>
      </c>
      <c r="F323" s="2">
        <v>45822</v>
      </c>
      <c r="G323" t="s">
        <v>32</v>
      </c>
      <c r="H323" t="s">
        <v>88</v>
      </c>
      <c r="I323" s="3">
        <v>2608.29</v>
      </c>
      <c r="J323" s="4">
        <v>0</v>
      </c>
      <c r="K323" t="s">
        <v>16</v>
      </c>
      <c r="L323" t="str" cm="1">
        <f t="array" ref="L323">_xlfn.IFS(C323&lt;18,"under 18",C323&lt;36,"btw 18 &amp; 35",C323&lt;51,"btw 36 &amp;50",C323&lt;66,"btw 51 &amp; 66",C323&gt;66,"66 &amp; above")</f>
        <v>btw 51 &amp; 66</v>
      </c>
      <c r="M323">
        <f t="shared" ref="M323:M386" si="6">AVERAGE(F323-E323)</f>
        <v>3</v>
      </c>
    </row>
    <row r="324" spans="1:13" x14ac:dyDescent="0.25">
      <c r="A324" t="s">
        <v>664</v>
      </c>
      <c r="B324" t="s">
        <v>665</v>
      </c>
      <c r="C324">
        <v>8</v>
      </c>
      <c r="D324" t="s">
        <v>19</v>
      </c>
      <c r="E324" s="2">
        <v>45426</v>
      </c>
      <c r="F324" s="2">
        <v>45430</v>
      </c>
      <c r="G324" t="s">
        <v>50</v>
      </c>
      <c r="H324" t="s">
        <v>131</v>
      </c>
      <c r="I324" s="3">
        <v>6107.32</v>
      </c>
      <c r="J324" s="4">
        <v>80</v>
      </c>
      <c r="K324" t="s">
        <v>16</v>
      </c>
      <c r="L324" t="str" cm="1">
        <f t="array" ref="L324">_xlfn.IFS(C324&lt;18,"under 18",C324&lt;36,"btw 18 &amp; 35",C324&lt;51,"btw 36 &amp;50",C324&lt;66,"btw 51 &amp; 66",C324&gt;66,"66 &amp; above")</f>
        <v>under 18</v>
      </c>
      <c r="M324">
        <f t="shared" si="6"/>
        <v>4</v>
      </c>
    </row>
    <row r="325" spans="1:13" x14ac:dyDescent="0.25">
      <c r="A325" t="s">
        <v>666</v>
      </c>
      <c r="B325" t="s">
        <v>667</v>
      </c>
      <c r="C325">
        <v>5</v>
      </c>
      <c r="D325" t="s">
        <v>19</v>
      </c>
      <c r="E325" s="2">
        <v>45359</v>
      </c>
      <c r="F325" s="2">
        <v>45360</v>
      </c>
      <c r="G325" t="s">
        <v>50</v>
      </c>
      <c r="H325" t="s">
        <v>121</v>
      </c>
      <c r="I325" s="3">
        <v>763.74</v>
      </c>
      <c r="J325" s="4">
        <v>90</v>
      </c>
      <c r="K325" t="s">
        <v>21</v>
      </c>
      <c r="L325" t="str" cm="1">
        <f t="array" ref="L325">_xlfn.IFS(C325&lt;18,"under 18",C325&lt;36,"btw 18 &amp; 35",C325&lt;51,"btw 36 &amp;50",C325&lt;66,"btw 51 &amp; 66",C325&gt;66,"66 &amp; above")</f>
        <v>under 18</v>
      </c>
      <c r="M325">
        <f t="shared" si="6"/>
        <v>1</v>
      </c>
    </row>
    <row r="326" spans="1:13" x14ac:dyDescent="0.25">
      <c r="A326" t="s">
        <v>668</v>
      </c>
      <c r="B326" t="s">
        <v>669</v>
      </c>
      <c r="C326">
        <v>3</v>
      </c>
      <c r="D326" t="s">
        <v>19</v>
      </c>
      <c r="E326" s="2">
        <v>45833</v>
      </c>
      <c r="F326" s="2">
        <v>45838</v>
      </c>
      <c r="G326" t="s">
        <v>50</v>
      </c>
      <c r="H326" t="s">
        <v>124</v>
      </c>
      <c r="I326" s="3">
        <v>8208.35</v>
      </c>
      <c r="J326" s="4">
        <v>0</v>
      </c>
      <c r="K326" t="s">
        <v>26</v>
      </c>
      <c r="L326" t="str" cm="1">
        <f t="array" ref="L326">_xlfn.IFS(C326&lt;18,"under 18",C326&lt;36,"btw 18 &amp; 35",C326&lt;51,"btw 36 &amp;50",C326&lt;66,"btw 51 &amp; 66",C326&gt;66,"66 &amp; above")</f>
        <v>under 18</v>
      </c>
      <c r="M326">
        <f t="shared" si="6"/>
        <v>5</v>
      </c>
    </row>
    <row r="327" spans="1:13" x14ac:dyDescent="0.25">
      <c r="A327" t="s">
        <v>670</v>
      </c>
      <c r="B327" t="s">
        <v>671</v>
      </c>
      <c r="C327">
        <v>26</v>
      </c>
      <c r="D327" t="s">
        <v>19</v>
      </c>
      <c r="E327" s="2">
        <v>45484</v>
      </c>
      <c r="F327" s="2">
        <v>45498</v>
      </c>
      <c r="G327" t="s">
        <v>61</v>
      </c>
      <c r="H327" t="s">
        <v>134</v>
      </c>
      <c r="I327" s="3">
        <v>20575.84</v>
      </c>
      <c r="J327" s="4">
        <v>80</v>
      </c>
      <c r="K327" t="s">
        <v>21</v>
      </c>
      <c r="L327" t="str" cm="1">
        <f t="array" ref="L327">_xlfn.IFS(C327&lt;18,"under 18",C327&lt;36,"btw 18 &amp; 35",C327&lt;51,"btw 36 &amp;50",C327&lt;66,"btw 51 &amp; 66",C327&gt;66,"66 &amp; above")</f>
        <v>btw 18 &amp; 35</v>
      </c>
      <c r="M327">
        <f t="shared" si="6"/>
        <v>14</v>
      </c>
    </row>
    <row r="328" spans="1:13" x14ac:dyDescent="0.25">
      <c r="A328" t="s">
        <v>672</v>
      </c>
      <c r="B328" t="s">
        <v>673</v>
      </c>
      <c r="C328">
        <v>1</v>
      </c>
      <c r="D328" t="s">
        <v>13</v>
      </c>
      <c r="E328" s="2">
        <v>45863</v>
      </c>
      <c r="F328" s="2">
        <v>45866</v>
      </c>
      <c r="G328" t="s">
        <v>50</v>
      </c>
      <c r="H328" t="s">
        <v>118</v>
      </c>
      <c r="I328" s="3">
        <v>5295.19</v>
      </c>
      <c r="J328" s="4">
        <v>90</v>
      </c>
      <c r="K328" t="s">
        <v>16</v>
      </c>
      <c r="L328" t="str" cm="1">
        <f t="array" ref="L328">_xlfn.IFS(C328&lt;18,"under 18",C328&lt;36,"btw 18 &amp; 35",C328&lt;51,"btw 36 &amp;50",C328&lt;66,"btw 51 &amp; 66",C328&gt;66,"66 &amp; above")</f>
        <v>under 18</v>
      </c>
      <c r="M328">
        <f t="shared" si="6"/>
        <v>3</v>
      </c>
    </row>
    <row r="329" spans="1:13" x14ac:dyDescent="0.25">
      <c r="A329" t="s">
        <v>674</v>
      </c>
      <c r="B329" t="s">
        <v>675</v>
      </c>
      <c r="C329">
        <v>35</v>
      </c>
      <c r="D329" t="s">
        <v>19</v>
      </c>
      <c r="E329" s="2">
        <v>45973</v>
      </c>
      <c r="F329" s="2">
        <v>45982</v>
      </c>
      <c r="G329" t="s">
        <v>61</v>
      </c>
      <c r="H329" t="s">
        <v>75</v>
      </c>
      <c r="I329" s="3">
        <v>23024.560000000001</v>
      </c>
      <c r="J329" s="4">
        <v>70</v>
      </c>
      <c r="K329" t="s">
        <v>21</v>
      </c>
      <c r="L329" t="str" cm="1">
        <f t="array" ref="L329">_xlfn.IFS(C329&lt;18,"under 18",C329&lt;36,"btw 18 &amp; 35",C329&lt;51,"btw 36 &amp;50",C329&lt;66,"btw 51 &amp; 66",C329&gt;66,"66 &amp; above")</f>
        <v>btw 18 &amp; 35</v>
      </c>
      <c r="M329">
        <f t="shared" si="6"/>
        <v>9</v>
      </c>
    </row>
    <row r="330" spans="1:13" x14ac:dyDescent="0.25">
      <c r="A330" t="s">
        <v>676</v>
      </c>
      <c r="B330" t="s">
        <v>434</v>
      </c>
      <c r="C330">
        <v>33</v>
      </c>
      <c r="D330" t="s">
        <v>19</v>
      </c>
      <c r="E330" s="2">
        <v>45782</v>
      </c>
      <c r="F330" s="2">
        <v>45785</v>
      </c>
      <c r="G330" t="s">
        <v>24</v>
      </c>
      <c r="H330" t="s">
        <v>334</v>
      </c>
      <c r="I330" s="3">
        <v>7452.68</v>
      </c>
      <c r="J330" s="4">
        <v>70</v>
      </c>
      <c r="K330" t="s">
        <v>16</v>
      </c>
      <c r="L330" t="str" cm="1">
        <f t="array" ref="L330">_xlfn.IFS(C330&lt;18,"under 18",C330&lt;36,"btw 18 &amp; 35",C330&lt;51,"btw 36 &amp;50",C330&lt;66,"btw 51 &amp; 66",C330&gt;66,"66 &amp; above")</f>
        <v>btw 18 &amp; 35</v>
      </c>
      <c r="M330">
        <f t="shared" si="6"/>
        <v>3</v>
      </c>
    </row>
    <row r="331" spans="1:13" x14ac:dyDescent="0.25">
      <c r="A331" t="s">
        <v>677</v>
      </c>
      <c r="B331" t="s">
        <v>197</v>
      </c>
      <c r="C331">
        <v>80</v>
      </c>
      <c r="D331" t="s">
        <v>13</v>
      </c>
      <c r="E331" s="2">
        <v>45354</v>
      </c>
      <c r="F331" s="2">
        <v>45362</v>
      </c>
      <c r="G331" t="s">
        <v>71</v>
      </c>
      <c r="H331" t="s">
        <v>238</v>
      </c>
      <c r="I331" s="3">
        <v>10908.13</v>
      </c>
      <c r="J331" s="4">
        <v>60</v>
      </c>
      <c r="K331" t="s">
        <v>16</v>
      </c>
      <c r="L331" t="str" cm="1">
        <f t="array" ref="L331">_xlfn.IFS(C331&lt;18,"under 18",C331&lt;36,"btw 18 &amp; 35",C331&lt;51,"btw 36 &amp;50",C331&lt;66,"btw 51 &amp; 66",C331&gt;66,"66 &amp; above")</f>
        <v>66 &amp; above</v>
      </c>
      <c r="M331">
        <f t="shared" si="6"/>
        <v>8</v>
      </c>
    </row>
    <row r="332" spans="1:13" x14ac:dyDescent="0.25">
      <c r="A332" t="s">
        <v>678</v>
      </c>
      <c r="B332" t="s">
        <v>47</v>
      </c>
      <c r="C332">
        <v>27</v>
      </c>
      <c r="D332" t="s">
        <v>13</v>
      </c>
      <c r="E332" s="2">
        <v>45405</v>
      </c>
      <c r="F332" s="2">
        <v>45411</v>
      </c>
      <c r="G332" t="s">
        <v>32</v>
      </c>
      <c r="H332" t="s">
        <v>115</v>
      </c>
      <c r="I332" s="3">
        <v>7501.37</v>
      </c>
      <c r="J332" s="4">
        <v>70</v>
      </c>
      <c r="K332" t="s">
        <v>26</v>
      </c>
      <c r="L332" t="str" cm="1">
        <f t="array" ref="L332">_xlfn.IFS(C332&lt;18,"under 18",C332&lt;36,"btw 18 &amp; 35",C332&lt;51,"btw 36 &amp;50",C332&lt;66,"btw 51 &amp; 66",C332&gt;66,"66 &amp; above")</f>
        <v>btw 18 &amp; 35</v>
      </c>
      <c r="M332">
        <f t="shared" si="6"/>
        <v>6</v>
      </c>
    </row>
    <row r="333" spans="1:13" x14ac:dyDescent="0.25">
      <c r="A333" t="s">
        <v>679</v>
      </c>
      <c r="B333" t="s">
        <v>301</v>
      </c>
      <c r="C333">
        <v>61</v>
      </c>
      <c r="D333" t="s">
        <v>19</v>
      </c>
      <c r="E333" s="2">
        <v>45771</v>
      </c>
      <c r="F333" s="2">
        <v>45772</v>
      </c>
      <c r="G333" t="s">
        <v>24</v>
      </c>
      <c r="H333" t="s">
        <v>334</v>
      </c>
      <c r="I333" s="3">
        <v>1264.69</v>
      </c>
      <c r="J333" s="4">
        <v>90</v>
      </c>
      <c r="K333" t="s">
        <v>16</v>
      </c>
      <c r="L333" t="str" cm="1">
        <f t="array" ref="L333">_xlfn.IFS(C333&lt;18,"under 18",C333&lt;36,"btw 18 &amp; 35",C333&lt;51,"btw 36 &amp;50",C333&lt;66,"btw 51 &amp; 66",C333&gt;66,"66 &amp; above")</f>
        <v>btw 51 &amp; 66</v>
      </c>
      <c r="M333">
        <f t="shared" si="6"/>
        <v>1</v>
      </c>
    </row>
    <row r="334" spans="1:13" x14ac:dyDescent="0.25">
      <c r="A334" t="s">
        <v>680</v>
      </c>
      <c r="B334" t="s">
        <v>681</v>
      </c>
      <c r="C334">
        <v>54</v>
      </c>
      <c r="D334" t="s">
        <v>19</v>
      </c>
      <c r="E334" s="2">
        <v>45420</v>
      </c>
      <c r="F334" s="2">
        <v>45431</v>
      </c>
      <c r="G334" t="s">
        <v>61</v>
      </c>
      <c r="H334" t="s">
        <v>75</v>
      </c>
      <c r="I334" s="3">
        <v>26730.35</v>
      </c>
      <c r="J334" s="4">
        <v>0</v>
      </c>
      <c r="K334" t="s">
        <v>21</v>
      </c>
      <c r="L334" t="str" cm="1">
        <f t="array" ref="L334">_xlfn.IFS(C334&lt;18,"under 18",C334&lt;36,"btw 18 &amp; 35",C334&lt;51,"btw 36 &amp;50",C334&lt;66,"btw 51 &amp; 66",C334&gt;66,"66 &amp; above")</f>
        <v>btw 51 &amp; 66</v>
      </c>
      <c r="M334">
        <f t="shared" si="6"/>
        <v>11</v>
      </c>
    </row>
    <row r="335" spans="1:13" x14ac:dyDescent="0.25">
      <c r="A335" t="s">
        <v>682</v>
      </c>
      <c r="B335" t="s">
        <v>469</v>
      </c>
      <c r="C335">
        <v>57</v>
      </c>
      <c r="D335" t="s">
        <v>19</v>
      </c>
      <c r="E335" s="2">
        <v>45746</v>
      </c>
      <c r="F335" s="2">
        <v>45749</v>
      </c>
      <c r="G335" t="s">
        <v>71</v>
      </c>
      <c r="H335" t="s">
        <v>95</v>
      </c>
      <c r="I335" s="3">
        <v>6655.97</v>
      </c>
      <c r="J335" s="4">
        <v>60</v>
      </c>
      <c r="K335" t="s">
        <v>21</v>
      </c>
      <c r="L335" t="str" cm="1">
        <f t="array" ref="L335">_xlfn.IFS(C335&lt;18,"under 18",C335&lt;36,"btw 18 &amp; 35",C335&lt;51,"btw 36 &amp;50",C335&lt;66,"btw 51 &amp; 66",C335&gt;66,"66 &amp; above")</f>
        <v>btw 51 &amp; 66</v>
      </c>
      <c r="M335">
        <f t="shared" si="6"/>
        <v>3</v>
      </c>
    </row>
    <row r="336" spans="1:13" x14ac:dyDescent="0.25">
      <c r="A336" t="s">
        <v>683</v>
      </c>
      <c r="B336" t="s">
        <v>333</v>
      </c>
      <c r="C336">
        <v>63</v>
      </c>
      <c r="D336" t="s">
        <v>13</v>
      </c>
      <c r="E336" s="2">
        <v>45354</v>
      </c>
      <c r="F336" s="2">
        <v>45362</v>
      </c>
      <c r="G336" t="s">
        <v>14</v>
      </c>
      <c r="H336" t="s">
        <v>112</v>
      </c>
      <c r="I336" s="3">
        <v>11856.84</v>
      </c>
      <c r="J336" s="4">
        <v>70</v>
      </c>
      <c r="K336" t="s">
        <v>21</v>
      </c>
      <c r="L336" t="str" cm="1">
        <f t="array" ref="L336">_xlfn.IFS(C336&lt;18,"under 18",C336&lt;36,"btw 18 &amp; 35",C336&lt;51,"btw 36 &amp;50",C336&lt;66,"btw 51 &amp; 66",C336&gt;66,"66 &amp; above")</f>
        <v>btw 51 &amp; 66</v>
      </c>
      <c r="M336">
        <f t="shared" si="6"/>
        <v>8</v>
      </c>
    </row>
    <row r="337" spans="1:13" x14ac:dyDescent="0.25">
      <c r="A337" t="s">
        <v>684</v>
      </c>
      <c r="B337" t="s">
        <v>685</v>
      </c>
      <c r="C337">
        <v>45</v>
      </c>
      <c r="D337" t="s">
        <v>13</v>
      </c>
      <c r="E337" s="2">
        <v>45767</v>
      </c>
      <c r="F337" s="2">
        <v>45768</v>
      </c>
      <c r="G337" t="s">
        <v>24</v>
      </c>
      <c r="H337" t="s">
        <v>334</v>
      </c>
      <c r="I337" s="3">
        <v>1625.38</v>
      </c>
      <c r="J337" s="4">
        <v>80</v>
      </c>
      <c r="K337" t="s">
        <v>16</v>
      </c>
      <c r="L337" t="str" cm="1">
        <f t="array" ref="L337">_xlfn.IFS(C337&lt;18,"under 18",C337&lt;36,"btw 18 &amp; 35",C337&lt;51,"btw 36 &amp;50",C337&lt;66,"btw 51 &amp; 66",C337&gt;66,"66 &amp; above")</f>
        <v>btw 36 &amp;50</v>
      </c>
      <c r="M337">
        <f t="shared" si="6"/>
        <v>1</v>
      </c>
    </row>
    <row r="338" spans="1:13" x14ac:dyDescent="0.25">
      <c r="A338" t="s">
        <v>686</v>
      </c>
      <c r="B338" t="s">
        <v>687</v>
      </c>
      <c r="C338">
        <v>71</v>
      </c>
      <c r="D338" t="s">
        <v>13</v>
      </c>
      <c r="E338" s="2">
        <v>45996</v>
      </c>
      <c r="F338" s="2">
        <v>46002</v>
      </c>
      <c r="G338" t="s">
        <v>14</v>
      </c>
      <c r="H338" t="s">
        <v>39</v>
      </c>
      <c r="I338" s="3">
        <v>10880.84</v>
      </c>
      <c r="J338" s="4">
        <v>80</v>
      </c>
      <c r="K338" t="s">
        <v>16</v>
      </c>
      <c r="L338" t="str" cm="1">
        <f t="array" ref="L338">_xlfn.IFS(C338&lt;18,"under 18",C338&lt;36,"btw 18 &amp; 35",C338&lt;51,"btw 36 &amp;50",C338&lt;66,"btw 51 &amp; 66",C338&gt;66,"66 &amp; above")</f>
        <v>66 &amp; above</v>
      </c>
      <c r="M338">
        <f t="shared" si="6"/>
        <v>6</v>
      </c>
    </row>
    <row r="339" spans="1:13" x14ac:dyDescent="0.25">
      <c r="A339" t="s">
        <v>688</v>
      </c>
      <c r="B339" t="s">
        <v>268</v>
      </c>
      <c r="C339">
        <v>69</v>
      </c>
      <c r="D339" t="s">
        <v>13</v>
      </c>
      <c r="E339" s="2">
        <v>45940</v>
      </c>
      <c r="F339" s="2">
        <v>45941</v>
      </c>
      <c r="G339" t="s">
        <v>32</v>
      </c>
      <c r="H339" t="s">
        <v>115</v>
      </c>
      <c r="I339" s="3">
        <v>1151.51</v>
      </c>
      <c r="J339" s="4">
        <v>90</v>
      </c>
      <c r="K339" t="s">
        <v>21</v>
      </c>
      <c r="L339" t="str" cm="1">
        <f t="array" ref="L339">_xlfn.IFS(C339&lt;18,"under 18",C339&lt;36,"btw 18 &amp; 35",C339&lt;51,"btw 36 &amp;50",C339&lt;66,"btw 51 &amp; 66",C339&gt;66,"66 &amp; above")</f>
        <v>66 &amp; above</v>
      </c>
      <c r="M339">
        <f t="shared" si="6"/>
        <v>1</v>
      </c>
    </row>
    <row r="340" spans="1:13" x14ac:dyDescent="0.25">
      <c r="A340" t="s">
        <v>689</v>
      </c>
      <c r="B340" t="s">
        <v>140</v>
      </c>
      <c r="C340">
        <v>43</v>
      </c>
      <c r="D340" t="s">
        <v>19</v>
      </c>
      <c r="E340" s="2">
        <v>45434</v>
      </c>
      <c r="F340" s="2">
        <v>45441</v>
      </c>
      <c r="G340" t="s">
        <v>14</v>
      </c>
      <c r="H340" t="s">
        <v>39</v>
      </c>
      <c r="I340" s="3">
        <v>13660.38</v>
      </c>
      <c r="J340" s="4">
        <v>50</v>
      </c>
      <c r="K340" t="s">
        <v>21</v>
      </c>
      <c r="L340" t="str" cm="1">
        <f t="array" ref="L340">_xlfn.IFS(C340&lt;18,"under 18",C340&lt;36,"btw 18 &amp; 35",C340&lt;51,"btw 36 &amp;50",C340&lt;66,"btw 51 &amp; 66",C340&gt;66,"66 &amp; above")</f>
        <v>btw 36 &amp;50</v>
      </c>
      <c r="M340">
        <f t="shared" si="6"/>
        <v>7</v>
      </c>
    </row>
    <row r="341" spans="1:13" x14ac:dyDescent="0.25">
      <c r="A341" t="s">
        <v>690</v>
      </c>
      <c r="B341" t="s">
        <v>464</v>
      </c>
      <c r="C341">
        <v>21</v>
      </c>
      <c r="D341" t="s">
        <v>13</v>
      </c>
      <c r="E341" s="2">
        <v>45672</v>
      </c>
      <c r="F341" s="2">
        <v>45676</v>
      </c>
      <c r="G341" t="s">
        <v>32</v>
      </c>
      <c r="H341" t="s">
        <v>115</v>
      </c>
      <c r="I341" s="3">
        <v>5372.91</v>
      </c>
      <c r="J341" s="4">
        <v>90</v>
      </c>
      <c r="K341" t="s">
        <v>16</v>
      </c>
      <c r="L341" t="str" cm="1">
        <f t="array" ref="L341">_xlfn.IFS(C341&lt;18,"under 18",C341&lt;36,"btw 18 &amp; 35",C341&lt;51,"btw 36 &amp;50",C341&lt;66,"btw 51 &amp; 66",C341&gt;66,"66 &amp; above")</f>
        <v>btw 18 &amp; 35</v>
      </c>
      <c r="M341">
        <f t="shared" si="6"/>
        <v>4</v>
      </c>
    </row>
    <row r="342" spans="1:13" x14ac:dyDescent="0.25">
      <c r="A342" t="s">
        <v>691</v>
      </c>
      <c r="B342" t="s">
        <v>692</v>
      </c>
      <c r="C342">
        <v>16</v>
      </c>
      <c r="D342" t="s">
        <v>13</v>
      </c>
      <c r="E342" s="2">
        <v>45357</v>
      </c>
      <c r="F342" s="2">
        <v>45360</v>
      </c>
      <c r="G342" t="s">
        <v>50</v>
      </c>
      <c r="H342" t="s">
        <v>379</v>
      </c>
      <c r="I342" s="3">
        <v>5108.66</v>
      </c>
      <c r="J342" s="4">
        <v>80</v>
      </c>
      <c r="K342" t="s">
        <v>16</v>
      </c>
      <c r="L342" t="str" cm="1">
        <f t="array" ref="L342">_xlfn.IFS(C342&lt;18,"under 18",C342&lt;36,"btw 18 &amp; 35",C342&lt;51,"btw 36 &amp;50",C342&lt;66,"btw 51 &amp; 66",C342&gt;66,"66 &amp; above")</f>
        <v>under 18</v>
      </c>
      <c r="M342">
        <f t="shared" si="6"/>
        <v>3</v>
      </c>
    </row>
    <row r="343" spans="1:13" x14ac:dyDescent="0.25">
      <c r="A343" t="s">
        <v>693</v>
      </c>
      <c r="B343" t="s">
        <v>694</v>
      </c>
      <c r="C343">
        <v>72</v>
      </c>
      <c r="D343" t="s">
        <v>19</v>
      </c>
      <c r="E343" s="2">
        <v>45778</v>
      </c>
      <c r="F343" s="2">
        <v>45781</v>
      </c>
      <c r="G343" t="s">
        <v>24</v>
      </c>
      <c r="H343" t="s">
        <v>222</v>
      </c>
      <c r="I343" s="3">
        <v>4730.3599999999997</v>
      </c>
      <c r="J343" s="4">
        <v>90</v>
      </c>
      <c r="K343" t="s">
        <v>16</v>
      </c>
      <c r="L343" t="str" cm="1">
        <f t="array" ref="L343">_xlfn.IFS(C343&lt;18,"under 18",C343&lt;36,"btw 18 &amp; 35",C343&lt;51,"btw 36 &amp;50",C343&lt;66,"btw 51 &amp; 66",C343&gt;66,"66 &amp; above")</f>
        <v>66 &amp; above</v>
      </c>
      <c r="M343">
        <f t="shared" si="6"/>
        <v>3</v>
      </c>
    </row>
    <row r="344" spans="1:13" x14ac:dyDescent="0.25">
      <c r="A344" t="s">
        <v>695</v>
      </c>
      <c r="B344" t="s">
        <v>696</v>
      </c>
      <c r="C344">
        <v>57</v>
      </c>
      <c r="D344" t="s">
        <v>19</v>
      </c>
      <c r="E344" s="2">
        <v>45670</v>
      </c>
      <c r="F344" s="2">
        <v>45673</v>
      </c>
      <c r="G344" t="s">
        <v>32</v>
      </c>
      <c r="H344" t="s">
        <v>45</v>
      </c>
      <c r="I344" s="3">
        <v>4389.91</v>
      </c>
      <c r="J344" s="4">
        <v>80</v>
      </c>
      <c r="K344" t="s">
        <v>16</v>
      </c>
      <c r="L344" t="str" cm="1">
        <f t="array" ref="L344">_xlfn.IFS(C344&lt;18,"under 18",C344&lt;36,"btw 18 &amp; 35",C344&lt;51,"btw 36 &amp;50",C344&lt;66,"btw 51 &amp; 66",C344&gt;66,"66 &amp; above")</f>
        <v>btw 51 &amp; 66</v>
      </c>
      <c r="M344">
        <f t="shared" si="6"/>
        <v>3</v>
      </c>
    </row>
    <row r="345" spans="1:13" x14ac:dyDescent="0.25">
      <c r="A345" t="s">
        <v>697</v>
      </c>
      <c r="B345" t="s">
        <v>698</v>
      </c>
      <c r="C345">
        <v>39</v>
      </c>
      <c r="D345" t="s">
        <v>19</v>
      </c>
      <c r="E345" s="2">
        <v>45906</v>
      </c>
      <c r="F345" s="2">
        <v>45914</v>
      </c>
      <c r="G345" t="s">
        <v>61</v>
      </c>
      <c r="H345" t="s">
        <v>75</v>
      </c>
      <c r="I345" s="3">
        <v>8536.89</v>
      </c>
      <c r="J345" s="4">
        <v>80</v>
      </c>
      <c r="K345" t="s">
        <v>16</v>
      </c>
      <c r="L345" t="str" cm="1">
        <f t="array" ref="L345">_xlfn.IFS(C345&lt;18,"under 18",C345&lt;36,"btw 18 &amp; 35",C345&lt;51,"btw 36 &amp;50",C345&lt;66,"btw 51 &amp; 66",C345&gt;66,"66 &amp; above")</f>
        <v>btw 36 &amp;50</v>
      </c>
      <c r="M345">
        <f t="shared" si="6"/>
        <v>8</v>
      </c>
    </row>
    <row r="346" spans="1:13" x14ac:dyDescent="0.25">
      <c r="A346" t="s">
        <v>699</v>
      </c>
      <c r="B346" t="s">
        <v>580</v>
      </c>
      <c r="C346">
        <v>12</v>
      </c>
      <c r="D346" t="s">
        <v>19</v>
      </c>
      <c r="E346" s="2">
        <v>45578</v>
      </c>
      <c r="F346" s="2">
        <v>45583</v>
      </c>
      <c r="G346" t="s">
        <v>50</v>
      </c>
      <c r="H346" t="s">
        <v>131</v>
      </c>
      <c r="I346" s="3">
        <v>3347.44</v>
      </c>
      <c r="J346" s="4">
        <v>0</v>
      </c>
      <c r="K346" t="s">
        <v>26</v>
      </c>
      <c r="L346" t="str" cm="1">
        <f t="array" ref="L346">_xlfn.IFS(C346&lt;18,"under 18",C346&lt;36,"btw 18 &amp; 35",C346&lt;51,"btw 36 &amp;50",C346&lt;66,"btw 51 &amp; 66",C346&gt;66,"66 &amp; above")</f>
        <v>under 18</v>
      </c>
      <c r="M346">
        <f t="shared" si="6"/>
        <v>5</v>
      </c>
    </row>
    <row r="347" spans="1:13" x14ac:dyDescent="0.25">
      <c r="A347" t="s">
        <v>700</v>
      </c>
      <c r="B347" t="s">
        <v>701</v>
      </c>
      <c r="C347">
        <v>57</v>
      </c>
      <c r="D347" t="s">
        <v>19</v>
      </c>
      <c r="E347" s="2">
        <v>45937</v>
      </c>
      <c r="F347" s="2">
        <v>45943</v>
      </c>
      <c r="G347" t="s">
        <v>14</v>
      </c>
      <c r="H347" t="s">
        <v>166</v>
      </c>
      <c r="I347" s="3">
        <v>15565.46</v>
      </c>
      <c r="J347" s="4">
        <v>70</v>
      </c>
      <c r="K347" t="s">
        <v>21</v>
      </c>
      <c r="L347" t="str" cm="1">
        <f t="array" ref="L347">_xlfn.IFS(C347&lt;18,"under 18",C347&lt;36,"btw 18 &amp; 35",C347&lt;51,"btw 36 &amp;50",C347&lt;66,"btw 51 &amp; 66",C347&gt;66,"66 &amp; above")</f>
        <v>btw 51 &amp; 66</v>
      </c>
      <c r="M347">
        <f t="shared" si="6"/>
        <v>6</v>
      </c>
    </row>
    <row r="348" spans="1:13" x14ac:dyDescent="0.25">
      <c r="A348" t="s">
        <v>702</v>
      </c>
      <c r="B348" t="s">
        <v>703</v>
      </c>
      <c r="C348">
        <v>52</v>
      </c>
      <c r="D348" t="s">
        <v>13</v>
      </c>
      <c r="E348" s="2">
        <v>45979</v>
      </c>
      <c r="F348" s="2">
        <v>45986</v>
      </c>
      <c r="G348" t="s">
        <v>32</v>
      </c>
      <c r="H348" t="s">
        <v>115</v>
      </c>
      <c r="I348" s="3">
        <v>4507.1400000000003</v>
      </c>
      <c r="J348" s="4">
        <v>80</v>
      </c>
      <c r="K348" t="s">
        <v>26</v>
      </c>
      <c r="L348" t="str" cm="1">
        <f t="array" ref="L348">_xlfn.IFS(C348&lt;18,"under 18",C348&lt;36,"btw 18 &amp; 35",C348&lt;51,"btw 36 &amp;50",C348&lt;66,"btw 51 &amp; 66",C348&gt;66,"66 &amp; above")</f>
        <v>btw 51 &amp; 66</v>
      </c>
      <c r="M348">
        <f t="shared" si="6"/>
        <v>7</v>
      </c>
    </row>
    <row r="349" spans="1:13" x14ac:dyDescent="0.25">
      <c r="A349" t="s">
        <v>704</v>
      </c>
      <c r="B349" t="s">
        <v>705</v>
      </c>
      <c r="C349">
        <v>62</v>
      </c>
      <c r="D349" t="s">
        <v>13</v>
      </c>
      <c r="E349" s="2">
        <v>45848</v>
      </c>
      <c r="F349" s="2">
        <v>45855</v>
      </c>
      <c r="G349" t="s">
        <v>14</v>
      </c>
      <c r="H349" t="s">
        <v>15</v>
      </c>
      <c r="I349" s="3">
        <v>10788.07</v>
      </c>
      <c r="J349" s="4">
        <v>70</v>
      </c>
      <c r="K349" t="s">
        <v>21</v>
      </c>
      <c r="L349" t="str" cm="1">
        <f t="array" ref="L349">_xlfn.IFS(C349&lt;18,"under 18",C349&lt;36,"btw 18 &amp; 35",C349&lt;51,"btw 36 &amp;50",C349&lt;66,"btw 51 &amp; 66",C349&gt;66,"66 &amp; above")</f>
        <v>btw 51 &amp; 66</v>
      </c>
      <c r="M349">
        <f t="shared" si="6"/>
        <v>7</v>
      </c>
    </row>
    <row r="350" spans="1:13" x14ac:dyDescent="0.25">
      <c r="A350" t="s">
        <v>706</v>
      </c>
      <c r="B350" t="s">
        <v>707</v>
      </c>
      <c r="C350">
        <v>46</v>
      </c>
      <c r="D350" t="s">
        <v>13</v>
      </c>
      <c r="E350" s="2">
        <v>45431</v>
      </c>
      <c r="F350" s="2">
        <v>45440</v>
      </c>
      <c r="G350" t="s">
        <v>14</v>
      </c>
      <c r="H350" t="s">
        <v>20</v>
      </c>
      <c r="I350" s="3">
        <v>26034.080000000002</v>
      </c>
      <c r="J350" s="4">
        <v>80</v>
      </c>
      <c r="K350" t="s">
        <v>16</v>
      </c>
      <c r="L350" t="str" cm="1">
        <f t="array" ref="L350">_xlfn.IFS(C350&lt;18,"under 18",C350&lt;36,"btw 18 &amp; 35",C350&lt;51,"btw 36 &amp;50",C350&lt;66,"btw 51 &amp; 66",C350&gt;66,"66 &amp; above")</f>
        <v>btw 36 &amp;50</v>
      </c>
      <c r="M350">
        <f t="shared" si="6"/>
        <v>9</v>
      </c>
    </row>
    <row r="351" spans="1:13" x14ac:dyDescent="0.25">
      <c r="A351" t="s">
        <v>708</v>
      </c>
      <c r="B351" t="s">
        <v>709</v>
      </c>
      <c r="C351">
        <v>44</v>
      </c>
      <c r="D351" t="s">
        <v>13</v>
      </c>
      <c r="E351" s="2">
        <v>45525</v>
      </c>
      <c r="F351" s="2">
        <v>45533</v>
      </c>
      <c r="G351" t="s">
        <v>14</v>
      </c>
      <c r="H351" t="s">
        <v>112</v>
      </c>
      <c r="I351" s="3">
        <v>10409.19</v>
      </c>
      <c r="J351" s="4">
        <v>90</v>
      </c>
      <c r="K351" t="s">
        <v>26</v>
      </c>
      <c r="L351" t="str" cm="1">
        <f t="array" ref="L351">_xlfn.IFS(C351&lt;18,"under 18",C351&lt;36,"btw 18 &amp; 35",C351&lt;51,"btw 36 &amp;50",C351&lt;66,"btw 51 &amp; 66",C351&gt;66,"66 &amp; above")</f>
        <v>btw 36 &amp;50</v>
      </c>
      <c r="M351">
        <f t="shared" si="6"/>
        <v>8</v>
      </c>
    </row>
    <row r="352" spans="1:13" x14ac:dyDescent="0.25">
      <c r="A352" t="s">
        <v>710</v>
      </c>
      <c r="B352" t="s">
        <v>711</v>
      </c>
      <c r="C352">
        <v>62</v>
      </c>
      <c r="D352" t="s">
        <v>19</v>
      </c>
      <c r="E352" s="2">
        <v>45506</v>
      </c>
      <c r="F352" s="2">
        <v>45507</v>
      </c>
      <c r="G352" t="s">
        <v>24</v>
      </c>
      <c r="H352" t="s">
        <v>334</v>
      </c>
      <c r="I352" s="3">
        <v>1428.8</v>
      </c>
      <c r="J352" s="4">
        <v>80</v>
      </c>
      <c r="K352" t="s">
        <v>21</v>
      </c>
      <c r="L352" t="str" cm="1">
        <f t="array" ref="L352">_xlfn.IFS(C352&lt;18,"under 18",C352&lt;36,"btw 18 &amp; 35",C352&lt;51,"btw 36 &amp;50",C352&lt;66,"btw 51 &amp; 66",C352&gt;66,"66 &amp; above")</f>
        <v>btw 51 &amp; 66</v>
      </c>
      <c r="M352">
        <f t="shared" si="6"/>
        <v>1</v>
      </c>
    </row>
    <row r="353" spans="1:13" x14ac:dyDescent="0.25">
      <c r="A353" t="s">
        <v>712</v>
      </c>
      <c r="B353" t="s">
        <v>713</v>
      </c>
      <c r="C353">
        <v>73</v>
      </c>
      <c r="D353" t="s">
        <v>19</v>
      </c>
      <c r="E353" s="2">
        <v>45799</v>
      </c>
      <c r="F353" s="2">
        <v>45802</v>
      </c>
      <c r="G353" t="s">
        <v>24</v>
      </c>
      <c r="H353" t="s">
        <v>205</v>
      </c>
      <c r="I353" s="3">
        <v>6491.42</v>
      </c>
      <c r="J353" s="4">
        <v>0</v>
      </c>
      <c r="K353" t="s">
        <v>26</v>
      </c>
      <c r="L353" t="str" cm="1">
        <f t="array" ref="L353">_xlfn.IFS(C353&lt;18,"under 18",C353&lt;36,"btw 18 &amp; 35",C353&lt;51,"btw 36 &amp;50",C353&lt;66,"btw 51 &amp; 66",C353&gt;66,"66 &amp; above")</f>
        <v>66 &amp; above</v>
      </c>
      <c r="M353">
        <f t="shared" si="6"/>
        <v>3</v>
      </c>
    </row>
    <row r="354" spans="1:13" x14ac:dyDescent="0.25">
      <c r="A354" t="s">
        <v>714</v>
      </c>
      <c r="B354" t="s">
        <v>715</v>
      </c>
      <c r="C354">
        <v>80</v>
      </c>
      <c r="D354" t="s">
        <v>19</v>
      </c>
      <c r="E354" s="2">
        <v>45736</v>
      </c>
      <c r="F354" s="2">
        <v>45739</v>
      </c>
      <c r="G354" t="s">
        <v>24</v>
      </c>
      <c r="H354" t="s">
        <v>222</v>
      </c>
      <c r="I354" s="3">
        <v>2816.11</v>
      </c>
      <c r="J354" s="4">
        <v>80</v>
      </c>
      <c r="K354" t="s">
        <v>26</v>
      </c>
      <c r="L354" t="str" cm="1">
        <f t="array" ref="L354">_xlfn.IFS(C354&lt;18,"under 18",C354&lt;36,"btw 18 &amp; 35",C354&lt;51,"btw 36 &amp;50",C354&lt;66,"btw 51 &amp; 66",C354&gt;66,"66 &amp; above")</f>
        <v>66 &amp; above</v>
      </c>
      <c r="M354">
        <f t="shared" si="6"/>
        <v>3</v>
      </c>
    </row>
    <row r="355" spans="1:13" x14ac:dyDescent="0.25">
      <c r="A355" t="s">
        <v>716</v>
      </c>
      <c r="B355" t="s">
        <v>197</v>
      </c>
      <c r="C355">
        <v>12</v>
      </c>
      <c r="D355" t="s">
        <v>13</v>
      </c>
      <c r="E355" s="2">
        <v>45989</v>
      </c>
      <c r="F355" s="2">
        <v>45994</v>
      </c>
      <c r="G355" t="s">
        <v>50</v>
      </c>
      <c r="H355" t="s">
        <v>121</v>
      </c>
      <c r="I355" s="3">
        <v>6337.74</v>
      </c>
      <c r="J355" s="4">
        <v>60</v>
      </c>
      <c r="K355" t="s">
        <v>21</v>
      </c>
      <c r="L355" t="str" cm="1">
        <f t="array" ref="L355">_xlfn.IFS(C355&lt;18,"under 18",C355&lt;36,"btw 18 &amp; 35",C355&lt;51,"btw 36 &amp;50",C355&lt;66,"btw 51 &amp; 66",C355&gt;66,"66 &amp; above")</f>
        <v>under 18</v>
      </c>
      <c r="M355">
        <f t="shared" si="6"/>
        <v>5</v>
      </c>
    </row>
    <row r="356" spans="1:13" x14ac:dyDescent="0.25">
      <c r="A356" t="s">
        <v>717</v>
      </c>
      <c r="B356" t="s">
        <v>718</v>
      </c>
      <c r="C356">
        <v>48</v>
      </c>
      <c r="D356" t="s">
        <v>19</v>
      </c>
      <c r="E356" s="2">
        <v>45398</v>
      </c>
      <c r="F356" s="2">
        <v>45405</v>
      </c>
      <c r="G356" t="s">
        <v>32</v>
      </c>
      <c r="H356" t="s">
        <v>88</v>
      </c>
      <c r="I356" s="3">
        <v>8162.88</v>
      </c>
      <c r="J356" s="4">
        <v>60</v>
      </c>
      <c r="K356" t="s">
        <v>16</v>
      </c>
      <c r="L356" t="str" cm="1">
        <f t="array" ref="L356">_xlfn.IFS(C356&lt;18,"under 18",C356&lt;36,"btw 18 &amp; 35",C356&lt;51,"btw 36 &amp;50",C356&lt;66,"btw 51 &amp; 66",C356&gt;66,"66 &amp; above")</f>
        <v>btw 36 &amp;50</v>
      </c>
      <c r="M356">
        <f t="shared" si="6"/>
        <v>7</v>
      </c>
    </row>
    <row r="357" spans="1:13" x14ac:dyDescent="0.25">
      <c r="A357" t="s">
        <v>719</v>
      </c>
      <c r="B357" t="s">
        <v>720</v>
      </c>
      <c r="C357">
        <v>69</v>
      </c>
      <c r="D357" t="s">
        <v>13</v>
      </c>
      <c r="E357" s="2">
        <v>45706</v>
      </c>
      <c r="F357" s="2">
        <v>45708</v>
      </c>
      <c r="G357" t="s">
        <v>32</v>
      </c>
      <c r="H357" t="s">
        <v>36</v>
      </c>
      <c r="I357" s="3">
        <v>2495.13</v>
      </c>
      <c r="J357" s="4">
        <v>70</v>
      </c>
      <c r="K357" t="s">
        <v>16</v>
      </c>
      <c r="L357" t="str" cm="1">
        <f t="array" ref="L357">_xlfn.IFS(C357&lt;18,"under 18",C357&lt;36,"btw 18 &amp; 35",C357&lt;51,"btw 36 &amp;50",C357&lt;66,"btw 51 &amp; 66",C357&gt;66,"66 &amp; above")</f>
        <v>66 &amp; above</v>
      </c>
      <c r="M357">
        <f t="shared" si="6"/>
        <v>2</v>
      </c>
    </row>
    <row r="358" spans="1:13" x14ac:dyDescent="0.25">
      <c r="A358" t="s">
        <v>721</v>
      </c>
      <c r="B358" t="s">
        <v>722</v>
      </c>
      <c r="C358">
        <v>16</v>
      </c>
      <c r="D358" t="s">
        <v>19</v>
      </c>
      <c r="E358" s="2">
        <v>45454</v>
      </c>
      <c r="F358" s="2">
        <v>45455</v>
      </c>
      <c r="G358" t="s">
        <v>50</v>
      </c>
      <c r="H358" t="s">
        <v>121</v>
      </c>
      <c r="I358" s="3">
        <v>1054.1400000000001</v>
      </c>
      <c r="J358" s="4">
        <v>50</v>
      </c>
      <c r="K358" t="s">
        <v>21</v>
      </c>
      <c r="L358" t="str" cm="1">
        <f t="array" ref="L358">_xlfn.IFS(C358&lt;18,"under 18",C358&lt;36,"btw 18 &amp; 35",C358&lt;51,"btw 36 &amp;50",C358&lt;66,"btw 51 &amp; 66",C358&gt;66,"66 &amp; above")</f>
        <v>under 18</v>
      </c>
      <c r="M358">
        <f t="shared" si="6"/>
        <v>1</v>
      </c>
    </row>
    <row r="359" spans="1:13" x14ac:dyDescent="0.25">
      <c r="A359" t="s">
        <v>723</v>
      </c>
      <c r="B359" t="s">
        <v>724</v>
      </c>
      <c r="C359">
        <v>73</v>
      </c>
      <c r="D359" t="s">
        <v>19</v>
      </c>
      <c r="E359" s="2">
        <v>45746</v>
      </c>
      <c r="F359" s="2">
        <v>45747</v>
      </c>
      <c r="G359" t="s">
        <v>24</v>
      </c>
      <c r="H359" t="s">
        <v>83</v>
      </c>
      <c r="I359" s="3">
        <v>1251.25</v>
      </c>
      <c r="J359" s="4">
        <v>80</v>
      </c>
      <c r="K359" t="s">
        <v>16</v>
      </c>
      <c r="L359" t="str" cm="1">
        <f t="array" ref="L359">_xlfn.IFS(C359&lt;18,"under 18",C359&lt;36,"btw 18 &amp; 35",C359&lt;51,"btw 36 &amp;50",C359&lt;66,"btw 51 &amp; 66",C359&gt;66,"66 &amp; above")</f>
        <v>66 &amp; above</v>
      </c>
      <c r="M359">
        <f t="shared" si="6"/>
        <v>1</v>
      </c>
    </row>
    <row r="360" spans="1:13" x14ac:dyDescent="0.25">
      <c r="A360" t="s">
        <v>725</v>
      </c>
      <c r="B360" t="s">
        <v>726</v>
      </c>
      <c r="C360">
        <v>53</v>
      </c>
      <c r="D360" t="s">
        <v>13</v>
      </c>
      <c r="E360" s="2">
        <v>45736</v>
      </c>
      <c r="F360" s="2">
        <v>45742</v>
      </c>
      <c r="G360" t="s">
        <v>14</v>
      </c>
      <c r="H360" t="s">
        <v>112</v>
      </c>
      <c r="I360" s="3">
        <v>16598.080000000002</v>
      </c>
      <c r="J360" s="4">
        <v>80</v>
      </c>
      <c r="K360" t="s">
        <v>16</v>
      </c>
      <c r="L360" t="str" cm="1">
        <f t="array" ref="L360">_xlfn.IFS(C360&lt;18,"under 18",C360&lt;36,"btw 18 &amp; 35",C360&lt;51,"btw 36 &amp;50",C360&lt;66,"btw 51 &amp; 66",C360&gt;66,"66 &amp; above")</f>
        <v>btw 51 &amp; 66</v>
      </c>
      <c r="M360">
        <f t="shared" si="6"/>
        <v>6</v>
      </c>
    </row>
    <row r="361" spans="1:13" x14ac:dyDescent="0.25">
      <c r="A361" t="s">
        <v>727</v>
      </c>
      <c r="B361" t="s">
        <v>728</v>
      </c>
      <c r="C361">
        <v>46</v>
      </c>
      <c r="D361" t="s">
        <v>19</v>
      </c>
      <c r="E361" s="2">
        <v>45569</v>
      </c>
      <c r="F361" s="2">
        <v>45573</v>
      </c>
      <c r="G361" t="s">
        <v>32</v>
      </c>
      <c r="H361" t="s">
        <v>235</v>
      </c>
      <c r="I361" s="3">
        <v>4875.57</v>
      </c>
      <c r="J361" s="4">
        <v>90</v>
      </c>
      <c r="K361" t="s">
        <v>16</v>
      </c>
      <c r="L361" t="str" cm="1">
        <f t="array" ref="L361">_xlfn.IFS(C361&lt;18,"under 18",C361&lt;36,"btw 18 &amp; 35",C361&lt;51,"btw 36 &amp;50",C361&lt;66,"btw 51 &amp; 66",C361&gt;66,"66 &amp; above")</f>
        <v>btw 36 &amp;50</v>
      </c>
      <c r="M361">
        <f t="shared" si="6"/>
        <v>4</v>
      </c>
    </row>
    <row r="362" spans="1:13" x14ac:dyDescent="0.25">
      <c r="A362" t="s">
        <v>729</v>
      </c>
      <c r="B362" t="s">
        <v>730</v>
      </c>
      <c r="C362">
        <v>53</v>
      </c>
      <c r="D362" t="s">
        <v>13</v>
      </c>
      <c r="E362" s="2">
        <v>45993</v>
      </c>
      <c r="F362" s="2">
        <v>45998</v>
      </c>
      <c r="G362" t="s">
        <v>71</v>
      </c>
      <c r="H362" t="s">
        <v>238</v>
      </c>
      <c r="I362" s="3">
        <v>12181.3</v>
      </c>
      <c r="J362" s="4">
        <v>50</v>
      </c>
      <c r="K362" t="s">
        <v>16</v>
      </c>
      <c r="L362" t="str" cm="1">
        <f t="array" ref="L362">_xlfn.IFS(C362&lt;18,"under 18",C362&lt;36,"btw 18 &amp; 35",C362&lt;51,"btw 36 &amp;50",C362&lt;66,"btw 51 &amp; 66",C362&gt;66,"66 &amp; above")</f>
        <v>btw 51 &amp; 66</v>
      </c>
      <c r="M362">
        <f t="shared" si="6"/>
        <v>5</v>
      </c>
    </row>
    <row r="363" spans="1:13" x14ac:dyDescent="0.25">
      <c r="A363" t="s">
        <v>731</v>
      </c>
      <c r="B363" t="s">
        <v>732</v>
      </c>
      <c r="C363">
        <v>59</v>
      </c>
      <c r="D363" t="s">
        <v>13</v>
      </c>
      <c r="E363" s="2">
        <v>45862</v>
      </c>
      <c r="F363" s="2">
        <v>45863</v>
      </c>
      <c r="G363" t="s">
        <v>24</v>
      </c>
      <c r="H363" t="s">
        <v>205</v>
      </c>
      <c r="I363" s="3">
        <v>2262.27</v>
      </c>
      <c r="J363" s="4">
        <v>100</v>
      </c>
      <c r="K363" t="s">
        <v>16</v>
      </c>
      <c r="L363" t="str" cm="1">
        <f t="array" ref="L363">_xlfn.IFS(C363&lt;18,"under 18",C363&lt;36,"btw 18 &amp; 35",C363&lt;51,"btw 36 &amp;50",C363&lt;66,"btw 51 &amp; 66",C363&gt;66,"66 &amp; above")</f>
        <v>btw 51 &amp; 66</v>
      </c>
      <c r="M363">
        <f t="shared" si="6"/>
        <v>1</v>
      </c>
    </row>
    <row r="364" spans="1:13" x14ac:dyDescent="0.25">
      <c r="A364" t="s">
        <v>733</v>
      </c>
      <c r="B364" t="s">
        <v>734</v>
      </c>
      <c r="C364">
        <v>77</v>
      </c>
      <c r="D364" t="s">
        <v>13</v>
      </c>
      <c r="E364" s="2">
        <v>45787</v>
      </c>
      <c r="F364" s="2">
        <v>45793</v>
      </c>
      <c r="G364" t="s">
        <v>71</v>
      </c>
      <c r="H364" t="s">
        <v>158</v>
      </c>
      <c r="I364" s="3">
        <v>15249.23</v>
      </c>
      <c r="J364" s="4">
        <v>60</v>
      </c>
      <c r="K364" t="s">
        <v>16</v>
      </c>
      <c r="L364" t="str" cm="1">
        <f t="array" ref="L364">_xlfn.IFS(C364&lt;18,"under 18",C364&lt;36,"btw 18 &amp; 35",C364&lt;51,"btw 36 &amp;50",C364&lt;66,"btw 51 &amp; 66",C364&gt;66,"66 &amp; above")</f>
        <v>66 &amp; above</v>
      </c>
      <c r="M364">
        <f t="shared" si="6"/>
        <v>6</v>
      </c>
    </row>
    <row r="365" spans="1:13" x14ac:dyDescent="0.25">
      <c r="A365" t="s">
        <v>735</v>
      </c>
      <c r="B365" t="s">
        <v>736</v>
      </c>
      <c r="C365">
        <v>21</v>
      </c>
      <c r="D365" t="s">
        <v>19</v>
      </c>
      <c r="E365" s="2">
        <v>45325</v>
      </c>
      <c r="F365" s="2">
        <v>45328</v>
      </c>
      <c r="G365" t="s">
        <v>32</v>
      </c>
      <c r="H365" t="s">
        <v>88</v>
      </c>
      <c r="I365" s="3">
        <v>3947.95</v>
      </c>
      <c r="J365" s="4">
        <v>80</v>
      </c>
      <c r="K365" t="s">
        <v>16</v>
      </c>
      <c r="L365" t="str" cm="1">
        <f t="array" ref="L365">_xlfn.IFS(C365&lt;18,"under 18",C365&lt;36,"btw 18 &amp; 35",C365&lt;51,"btw 36 &amp;50",C365&lt;66,"btw 51 &amp; 66",C365&gt;66,"66 &amp; above")</f>
        <v>btw 18 &amp; 35</v>
      </c>
      <c r="M365">
        <f t="shared" si="6"/>
        <v>3</v>
      </c>
    </row>
    <row r="366" spans="1:13" x14ac:dyDescent="0.25">
      <c r="A366" t="s">
        <v>737</v>
      </c>
      <c r="B366" t="s">
        <v>738</v>
      </c>
      <c r="C366">
        <v>59</v>
      </c>
      <c r="D366" t="s">
        <v>13</v>
      </c>
      <c r="E366" s="2">
        <v>45592</v>
      </c>
      <c r="F366" s="2">
        <v>45605</v>
      </c>
      <c r="G366" t="s">
        <v>61</v>
      </c>
      <c r="H366" t="s">
        <v>62</v>
      </c>
      <c r="I366" s="3">
        <v>35549.129999999997</v>
      </c>
      <c r="J366" s="4">
        <v>100</v>
      </c>
      <c r="K366" t="s">
        <v>21</v>
      </c>
      <c r="L366" t="str" cm="1">
        <f t="array" ref="L366">_xlfn.IFS(C366&lt;18,"under 18",C366&lt;36,"btw 18 &amp; 35",C366&lt;51,"btw 36 &amp;50",C366&lt;66,"btw 51 &amp; 66",C366&gt;66,"66 &amp; above")</f>
        <v>btw 51 &amp; 66</v>
      </c>
      <c r="M366">
        <f t="shared" si="6"/>
        <v>13</v>
      </c>
    </row>
    <row r="367" spans="1:13" x14ac:dyDescent="0.25">
      <c r="A367" t="s">
        <v>739</v>
      </c>
      <c r="B367" t="s">
        <v>740</v>
      </c>
      <c r="C367">
        <v>2</v>
      </c>
      <c r="D367" t="s">
        <v>13</v>
      </c>
      <c r="E367" s="2">
        <v>45692</v>
      </c>
      <c r="F367" s="2">
        <v>45696</v>
      </c>
      <c r="G367" t="s">
        <v>50</v>
      </c>
      <c r="H367" t="s">
        <v>121</v>
      </c>
      <c r="I367" s="3">
        <v>7038.14</v>
      </c>
      <c r="J367" s="4">
        <v>70</v>
      </c>
      <c r="K367" t="s">
        <v>26</v>
      </c>
      <c r="L367" t="str" cm="1">
        <f t="array" ref="L367">_xlfn.IFS(C367&lt;18,"under 18",C367&lt;36,"btw 18 &amp; 35",C367&lt;51,"btw 36 &amp;50",C367&lt;66,"btw 51 &amp; 66",C367&gt;66,"66 &amp; above")</f>
        <v>under 18</v>
      </c>
      <c r="M367">
        <f t="shared" si="6"/>
        <v>4</v>
      </c>
    </row>
    <row r="368" spans="1:13" x14ac:dyDescent="0.25">
      <c r="A368" t="s">
        <v>741</v>
      </c>
      <c r="B368" t="s">
        <v>742</v>
      </c>
      <c r="C368">
        <v>77</v>
      </c>
      <c r="D368" t="s">
        <v>13</v>
      </c>
      <c r="E368" s="2">
        <v>45971</v>
      </c>
      <c r="F368" s="2">
        <v>45980</v>
      </c>
      <c r="G368" t="s">
        <v>14</v>
      </c>
      <c r="H368" t="s">
        <v>166</v>
      </c>
      <c r="I368" s="3">
        <v>14877.84</v>
      </c>
      <c r="J368" s="4">
        <v>100</v>
      </c>
      <c r="K368" t="s">
        <v>21</v>
      </c>
      <c r="L368" t="str" cm="1">
        <f t="array" ref="L368">_xlfn.IFS(C368&lt;18,"under 18",C368&lt;36,"btw 18 &amp; 35",C368&lt;51,"btw 36 &amp;50",C368&lt;66,"btw 51 &amp; 66",C368&gt;66,"66 &amp; above")</f>
        <v>66 &amp; above</v>
      </c>
      <c r="M368">
        <f t="shared" si="6"/>
        <v>9</v>
      </c>
    </row>
    <row r="369" spans="1:13" x14ac:dyDescent="0.25">
      <c r="A369" t="s">
        <v>743</v>
      </c>
      <c r="B369" t="s">
        <v>147</v>
      </c>
      <c r="C369">
        <v>30</v>
      </c>
      <c r="D369" t="s">
        <v>13</v>
      </c>
      <c r="E369" s="2">
        <v>45845</v>
      </c>
      <c r="F369" s="2">
        <v>45856</v>
      </c>
      <c r="G369" t="s">
        <v>61</v>
      </c>
      <c r="H369" t="s">
        <v>62</v>
      </c>
      <c r="I369" s="3">
        <v>14678.51</v>
      </c>
      <c r="J369" s="4">
        <v>60</v>
      </c>
      <c r="K369" t="s">
        <v>21</v>
      </c>
      <c r="L369" t="str" cm="1">
        <f t="array" ref="L369">_xlfn.IFS(C369&lt;18,"under 18",C369&lt;36,"btw 18 &amp; 35",C369&lt;51,"btw 36 &amp;50",C369&lt;66,"btw 51 &amp; 66",C369&gt;66,"66 &amp; above")</f>
        <v>btw 18 &amp; 35</v>
      </c>
      <c r="M369">
        <f t="shared" si="6"/>
        <v>11</v>
      </c>
    </row>
    <row r="370" spans="1:13" x14ac:dyDescent="0.25">
      <c r="A370" t="s">
        <v>744</v>
      </c>
      <c r="B370" t="s">
        <v>745</v>
      </c>
      <c r="C370">
        <v>42</v>
      </c>
      <c r="D370" t="s">
        <v>13</v>
      </c>
      <c r="E370" s="2">
        <v>46002</v>
      </c>
      <c r="F370" s="2">
        <v>46004</v>
      </c>
      <c r="G370" t="s">
        <v>24</v>
      </c>
      <c r="H370" t="s">
        <v>205</v>
      </c>
      <c r="I370" s="3">
        <v>3466.32</v>
      </c>
      <c r="J370" s="4">
        <v>70</v>
      </c>
      <c r="K370" t="s">
        <v>16</v>
      </c>
      <c r="L370" t="str" cm="1">
        <f t="array" ref="L370">_xlfn.IFS(C370&lt;18,"under 18",C370&lt;36,"btw 18 &amp; 35",C370&lt;51,"btw 36 &amp;50",C370&lt;66,"btw 51 &amp; 66",C370&gt;66,"66 &amp; above")</f>
        <v>btw 36 &amp;50</v>
      </c>
      <c r="M370">
        <f t="shared" si="6"/>
        <v>2</v>
      </c>
    </row>
    <row r="371" spans="1:13" x14ac:dyDescent="0.25">
      <c r="A371" t="s">
        <v>746</v>
      </c>
      <c r="B371" t="s">
        <v>747</v>
      </c>
      <c r="C371">
        <v>59</v>
      </c>
      <c r="D371" t="s">
        <v>13</v>
      </c>
      <c r="E371" s="2">
        <v>45530</v>
      </c>
      <c r="F371" s="2">
        <v>45544</v>
      </c>
      <c r="G371" t="s">
        <v>61</v>
      </c>
      <c r="H371" t="s">
        <v>98</v>
      </c>
      <c r="I371" s="3">
        <v>21123.25</v>
      </c>
      <c r="J371" s="4">
        <v>80</v>
      </c>
      <c r="K371" t="s">
        <v>16</v>
      </c>
      <c r="L371" t="str" cm="1">
        <f t="array" ref="L371">_xlfn.IFS(C371&lt;18,"under 18",C371&lt;36,"btw 18 &amp; 35",C371&lt;51,"btw 36 &amp;50",C371&lt;66,"btw 51 &amp; 66",C371&gt;66,"66 &amp; above")</f>
        <v>btw 51 &amp; 66</v>
      </c>
      <c r="M371">
        <f t="shared" si="6"/>
        <v>14</v>
      </c>
    </row>
    <row r="372" spans="1:13" x14ac:dyDescent="0.25">
      <c r="A372" t="s">
        <v>748</v>
      </c>
      <c r="B372" t="s">
        <v>749</v>
      </c>
      <c r="C372">
        <v>7</v>
      </c>
      <c r="D372" t="s">
        <v>13</v>
      </c>
      <c r="E372" s="2">
        <v>45729</v>
      </c>
      <c r="F372" s="2">
        <v>45734</v>
      </c>
      <c r="G372" t="s">
        <v>50</v>
      </c>
      <c r="H372" t="s">
        <v>118</v>
      </c>
      <c r="I372" s="3">
        <v>5585.79</v>
      </c>
      <c r="J372" s="4">
        <v>0</v>
      </c>
      <c r="K372" t="s">
        <v>26</v>
      </c>
      <c r="L372" t="str" cm="1">
        <f t="array" ref="L372">_xlfn.IFS(C372&lt;18,"under 18",C372&lt;36,"btw 18 &amp; 35",C372&lt;51,"btw 36 &amp;50",C372&lt;66,"btw 51 &amp; 66",C372&gt;66,"66 &amp; above")</f>
        <v>under 18</v>
      </c>
      <c r="M372">
        <f t="shared" si="6"/>
        <v>5</v>
      </c>
    </row>
    <row r="373" spans="1:13" x14ac:dyDescent="0.25">
      <c r="A373" t="s">
        <v>750</v>
      </c>
      <c r="B373" t="s">
        <v>751</v>
      </c>
      <c r="C373">
        <v>37</v>
      </c>
      <c r="D373" t="s">
        <v>19</v>
      </c>
      <c r="E373" s="2">
        <v>45548</v>
      </c>
      <c r="F373" s="2">
        <v>45553</v>
      </c>
      <c r="G373" t="s">
        <v>32</v>
      </c>
      <c r="H373" t="s">
        <v>88</v>
      </c>
      <c r="I373" s="3">
        <v>6953.83</v>
      </c>
      <c r="J373" s="4">
        <v>90</v>
      </c>
      <c r="K373" t="s">
        <v>21</v>
      </c>
      <c r="L373" t="str" cm="1">
        <f t="array" ref="L373">_xlfn.IFS(C373&lt;18,"under 18",C373&lt;36,"btw 18 &amp; 35",C373&lt;51,"btw 36 &amp;50",C373&lt;66,"btw 51 &amp; 66",C373&gt;66,"66 &amp; above")</f>
        <v>btw 36 &amp;50</v>
      </c>
      <c r="M373">
        <f t="shared" si="6"/>
        <v>5</v>
      </c>
    </row>
    <row r="374" spans="1:13" x14ac:dyDescent="0.25">
      <c r="A374" t="s">
        <v>752</v>
      </c>
      <c r="B374" t="s">
        <v>753</v>
      </c>
      <c r="C374">
        <v>33</v>
      </c>
      <c r="D374" t="s">
        <v>19</v>
      </c>
      <c r="E374" s="2">
        <v>45659</v>
      </c>
      <c r="F374" s="2">
        <v>45660</v>
      </c>
      <c r="G374" t="s">
        <v>24</v>
      </c>
      <c r="H374" t="s">
        <v>42</v>
      </c>
      <c r="I374" s="3">
        <v>2224.13</v>
      </c>
      <c r="J374" s="4">
        <v>70</v>
      </c>
      <c r="K374" t="s">
        <v>16</v>
      </c>
      <c r="L374" t="str" cm="1">
        <f t="array" ref="L374">_xlfn.IFS(C374&lt;18,"under 18",C374&lt;36,"btw 18 &amp; 35",C374&lt;51,"btw 36 &amp;50",C374&lt;66,"btw 51 &amp; 66",C374&gt;66,"66 &amp; above")</f>
        <v>btw 18 &amp; 35</v>
      </c>
      <c r="M374">
        <f t="shared" si="6"/>
        <v>1</v>
      </c>
    </row>
    <row r="375" spans="1:13" x14ac:dyDescent="0.25">
      <c r="A375" t="s">
        <v>754</v>
      </c>
      <c r="B375" t="s">
        <v>636</v>
      </c>
      <c r="C375">
        <v>76</v>
      </c>
      <c r="D375" t="s">
        <v>13</v>
      </c>
      <c r="E375" s="2">
        <v>45768</v>
      </c>
      <c r="F375" s="2">
        <v>45774</v>
      </c>
      <c r="G375" t="s">
        <v>14</v>
      </c>
      <c r="H375" t="s">
        <v>39</v>
      </c>
      <c r="I375" s="3">
        <v>11111.41</v>
      </c>
      <c r="J375" s="4">
        <v>70</v>
      </c>
      <c r="K375" t="s">
        <v>16</v>
      </c>
      <c r="L375" t="str" cm="1">
        <f t="array" ref="L375">_xlfn.IFS(C375&lt;18,"under 18",C375&lt;36,"btw 18 &amp; 35",C375&lt;51,"btw 36 &amp;50",C375&lt;66,"btw 51 &amp; 66",C375&gt;66,"66 &amp; above")</f>
        <v>66 &amp; above</v>
      </c>
      <c r="M375">
        <f t="shared" si="6"/>
        <v>6</v>
      </c>
    </row>
    <row r="376" spans="1:13" x14ac:dyDescent="0.25">
      <c r="A376" t="s">
        <v>755</v>
      </c>
      <c r="B376" t="s">
        <v>742</v>
      </c>
      <c r="C376">
        <v>31</v>
      </c>
      <c r="D376" t="s">
        <v>13</v>
      </c>
      <c r="E376" s="2">
        <v>45547</v>
      </c>
      <c r="F376" s="2">
        <v>45554</v>
      </c>
      <c r="G376" t="s">
        <v>32</v>
      </c>
      <c r="H376" t="s">
        <v>45</v>
      </c>
      <c r="I376" s="3">
        <v>8312.57</v>
      </c>
      <c r="J376" s="4">
        <v>70</v>
      </c>
      <c r="K376" t="s">
        <v>16</v>
      </c>
      <c r="L376" t="str" cm="1">
        <f t="array" ref="L376">_xlfn.IFS(C376&lt;18,"under 18",C376&lt;36,"btw 18 &amp; 35",C376&lt;51,"btw 36 &amp;50",C376&lt;66,"btw 51 &amp; 66",C376&gt;66,"66 &amp; above")</f>
        <v>btw 18 &amp; 35</v>
      </c>
      <c r="M376">
        <f t="shared" si="6"/>
        <v>7</v>
      </c>
    </row>
    <row r="377" spans="1:13" x14ac:dyDescent="0.25">
      <c r="A377" t="s">
        <v>756</v>
      </c>
      <c r="B377" t="s">
        <v>517</v>
      </c>
      <c r="C377">
        <v>36</v>
      </c>
      <c r="D377" t="s">
        <v>13</v>
      </c>
      <c r="E377" s="2">
        <v>45595</v>
      </c>
      <c r="F377" s="2">
        <v>45600</v>
      </c>
      <c r="G377" t="s">
        <v>32</v>
      </c>
      <c r="H377" t="s">
        <v>235</v>
      </c>
      <c r="I377" s="3">
        <v>4633.5</v>
      </c>
      <c r="J377" s="4">
        <v>90</v>
      </c>
      <c r="K377" t="s">
        <v>16</v>
      </c>
      <c r="L377" t="str" cm="1">
        <f t="array" ref="L377">_xlfn.IFS(C377&lt;18,"under 18",C377&lt;36,"btw 18 &amp; 35",C377&lt;51,"btw 36 &amp;50",C377&lt;66,"btw 51 &amp; 66",C377&gt;66,"66 &amp; above")</f>
        <v>btw 36 &amp;50</v>
      </c>
      <c r="M377">
        <f t="shared" si="6"/>
        <v>5</v>
      </c>
    </row>
    <row r="378" spans="1:13" x14ac:dyDescent="0.25">
      <c r="A378" t="s">
        <v>757</v>
      </c>
      <c r="B378" t="s">
        <v>758</v>
      </c>
      <c r="C378">
        <v>29</v>
      </c>
      <c r="D378" t="s">
        <v>19</v>
      </c>
      <c r="E378" s="2">
        <v>45590</v>
      </c>
      <c r="F378" s="2">
        <v>45593</v>
      </c>
      <c r="G378" t="s">
        <v>61</v>
      </c>
      <c r="H378" t="s">
        <v>78</v>
      </c>
      <c r="I378" s="3">
        <v>6028.31</v>
      </c>
      <c r="J378" s="4">
        <v>80</v>
      </c>
      <c r="K378" t="s">
        <v>26</v>
      </c>
      <c r="L378" t="str" cm="1">
        <f t="array" ref="L378">_xlfn.IFS(C378&lt;18,"under 18",C378&lt;36,"btw 18 &amp; 35",C378&lt;51,"btw 36 &amp;50",C378&lt;66,"btw 51 &amp; 66",C378&gt;66,"66 &amp; above")</f>
        <v>btw 18 &amp; 35</v>
      </c>
      <c r="M378">
        <f t="shared" si="6"/>
        <v>3</v>
      </c>
    </row>
    <row r="379" spans="1:13" x14ac:dyDescent="0.25">
      <c r="A379" t="s">
        <v>759</v>
      </c>
      <c r="B379" t="s">
        <v>760</v>
      </c>
      <c r="C379">
        <v>64</v>
      </c>
      <c r="D379" t="s">
        <v>13</v>
      </c>
      <c r="E379" s="2">
        <v>45385</v>
      </c>
      <c r="F379" s="2">
        <v>45390</v>
      </c>
      <c r="G379" t="s">
        <v>71</v>
      </c>
      <c r="H379" t="s">
        <v>95</v>
      </c>
      <c r="I379" s="3">
        <v>6224.81</v>
      </c>
      <c r="J379" s="4">
        <v>70</v>
      </c>
      <c r="K379" t="s">
        <v>26</v>
      </c>
      <c r="L379" t="str" cm="1">
        <f t="array" ref="L379">_xlfn.IFS(C379&lt;18,"under 18",C379&lt;36,"btw 18 &amp; 35",C379&lt;51,"btw 36 &amp;50",C379&lt;66,"btw 51 &amp; 66",C379&gt;66,"66 &amp; above")</f>
        <v>btw 51 &amp; 66</v>
      </c>
      <c r="M379">
        <f t="shared" si="6"/>
        <v>5</v>
      </c>
    </row>
    <row r="380" spans="1:13" x14ac:dyDescent="0.25">
      <c r="A380" t="s">
        <v>761</v>
      </c>
      <c r="B380" t="s">
        <v>493</v>
      </c>
      <c r="C380">
        <v>44</v>
      </c>
      <c r="D380" t="s">
        <v>13</v>
      </c>
      <c r="E380" s="2">
        <v>45500</v>
      </c>
      <c r="F380" s="2">
        <v>45511</v>
      </c>
      <c r="G380" t="s">
        <v>61</v>
      </c>
      <c r="H380" t="s">
        <v>62</v>
      </c>
      <c r="I380" s="3">
        <v>18959.16</v>
      </c>
      <c r="J380" s="4">
        <v>60</v>
      </c>
      <c r="K380" t="s">
        <v>16</v>
      </c>
      <c r="L380" t="str" cm="1">
        <f t="array" ref="L380">_xlfn.IFS(C380&lt;18,"under 18",C380&lt;36,"btw 18 &amp; 35",C380&lt;51,"btw 36 &amp;50",C380&lt;66,"btw 51 &amp; 66",C380&gt;66,"66 &amp; above")</f>
        <v>btw 36 &amp;50</v>
      </c>
      <c r="M380">
        <f t="shared" si="6"/>
        <v>11</v>
      </c>
    </row>
    <row r="381" spans="1:13" x14ac:dyDescent="0.25">
      <c r="A381" t="s">
        <v>762</v>
      </c>
      <c r="B381" t="s">
        <v>763</v>
      </c>
      <c r="C381">
        <v>77</v>
      </c>
      <c r="D381" t="s">
        <v>19</v>
      </c>
      <c r="E381" s="2">
        <v>45378</v>
      </c>
      <c r="F381" s="2">
        <v>45380</v>
      </c>
      <c r="G381" t="s">
        <v>32</v>
      </c>
      <c r="H381" t="s">
        <v>33</v>
      </c>
      <c r="I381" s="3">
        <v>2123.39</v>
      </c>
      <c r="J381" s="4">
        <v>80</v>
      </c>
      <c r="K381" t="s">
        <v>16</v>
      </c>
      <c r="L381" t="str" cm="1">
        <f t="array" ref="L381">_xlfn.IFS(C381&lt;18,"under 18",C381&lt;36,"btw 18 &amp; 35",C381&lt;51,"btw 36 &amp;50",C381&lt;66,"btw 51 &amp; 66",C381&gt;66,"66 &amp; above")</f>
        <v>66 &amp; above</v>
      </c>
      <c r="M381">
        <f t="shared" si="6"/>
        <v>2</v>
      </c>
    </row>
    <row r="382" spans="1:13" x14ac:dyDescent="0.25">
      <c r="A382" t="s">
        <v>764</v>
      </c>
      <c r="B382" t="s">
        <v>765</v>
      </c>
      <c r="C382">
        <v>51</v>
      </c>
      <c r="D382" t="s">
        <v>19</v>
      </c>
      <c r="E382" s="2">
        <v>45535</v>
      </c>
      <c r="F382" s="2">
        <v>45537</v>
      </c>
      <c r="G382" t="s">
        <v>61</v>
      </c>
      <c r="H382" t="s">
        <v>78</v>
      </c>
      <c r="I382" s="3">
        <v>4043.37</v>
      </c>
      <c r="J382" s="4">
        <v>100</v>
      </c>
      <c r="K382" t="s">
        <v>16</v>
      </c>
      <c r="L382" t="str" cm="1">
        <f t="array" ref="L382">_xlfn.IFS(C382&lt;18,"under 18",C382&lt;36,"btw 18 &amp; 35",C382&lt;51,"btw 36 &amp;50",C382&lt;66,"btw 51 &amp; 66",C382&gt;66,"66 &amp; above")</f>
        <v>btw 51 &amp; 66</v>
      </c>
      <c r="M382">
        <f t="shared" si="6"/>
        <v>2</v>
      </c>
    </row>
    <row r="383" spans="1:13" x14ac:dyDescent="0.25">
      <c r="A383" t="s">
        <v>766</v>
      </c>
      <c r="B383" t="s">
        <v>767</v>
      </c>
      <c r="C383">
        <v>4</v>
      </c>
      <c r="D383" t="s">
        <v>13</v>
      </c>
      <c r="E383" s="2">
        <v>45670</v>
      </c>
      <c r="F383" s="2">
        <v>45671</v>
      </c>
      <c r="G383" t="s">
        <v>50</v>
      </c>
      <c r="H383" t="s">
        <v>124</v>
      </c>
      <c r="I383" s="3">
        <v>843.6</v>
      </c>
      <c r="J383" s="4">
        <v>70</v>
      </c>
      <c r="K383" t="s">
        <v>26</v>
      </c>
      <c r="L383" t="str" cm="1">
        <f t="array" ref="L383">_xlfn.IFS(C383&lt;18,"under 18",C383&lt;36,"btw 18 &amp; 35",C383&lt;51,"btw 36 &amp;50",C383&lt;66,"btw 51 &amp; 66",C383&gt;66,"66 &amp; above")</f>
        <v>under 18</v>
      </c>
      <c r="M383">
        <f t="shared" si="6"/>
        <v>1</v>
      </c>
    </row>
    <row r="384" spans="1:13" x14ac:dyDescent="0.25">
      <c r="A384" t="s">
        <v>768</v>
      </c>
      <c r="B384" t="s">
        <v>539</v>
      </c>
      <c r="C384">
        <v>37</v>
      </c>
      <c r="D384" t="s">
        <v>19</v>
      </c>
      <c r="E384" s="2">
        <v>46012</v>
      </c>
      <c r="F384" s="2">
        <v>46016</v>
      </c>
      <c r="G384" t="s">
        <v>32</v>
      </c>
      <c r="H384" t="s">
        <v>115</v>
      </c>
      <c r="I384" s="3">
        <v>2561.88</v>
      </c>
      <c r="J384" s="4">
        <v>70</v>
      </c>
      <c r="K384" t="s">
        <v>16</v>
      </c>
      <c r="L384" t="str" cm="1">
        <f t="array" ref="L384">_xlfn.IFS(C384&lt;18,"under 18",C384&lt;36,"btw 18 &amp; 35",C384&lt;51,"btw 36 &amp;50",C384&lt;66,"btw 51 &amp; 66",C384&gt;66,"66 &amp; above")</f>
        <v>btw 36 &amp;50</v>
      </c>
      <c r="M384">
        <f t="shared" si="6"/>
        <v>4</v>
      </c>
    </row>
    <row r="385" spans="1:13" x14ac:dyDescent="0.25">
      <c r="A385" t="s">
        <v>769</v>
      </c>
      <c r="B385" t="s">
        <v>770</v>
      </c>
      <c r="C385">
        <v>21</v>
      </c>
      <c r="D385" t="s">
        <v>19</v>
      </c>
      <c r="E385" s="2">
        <v>45293</v>
      </c>
      <c r="F385" s="2">
        <v>45294</v>
      </c>
      <c r="G385" t="s">
        <v>24</v>
      </c>
      <c r="H385" t="s">
        <v>29</v>
      </c>
      <c r="I385" s="3">
        <v>1511.32</v>
      </c>
      <c r="J385" s="4">
        <v>80</v>
      </c>
      <c r="K385" t="s">
        <v>21</v>
      </c>
      <c r="L385" t="str" cm="1">
        <f t="array" ref="L385">_xlfn.IFS(C385&lt;18,"under 18",C385&lt;36,"btw 18 &amp; 35",C385&lt;51,"btw 36 &amp;50",C385&lt;66,"btw 51 &amp; 66",C385&gt;66,"66 &amp; above")</f>
        <v>btw 18 &amp; 35</v>
      </c>
      <c r="M385">
        <f t="shared" si="6"/>
        <v>1</v>
      </c>
    </row>
    <row r="386" spans="1:13" x14ac:dyDescent="0.25">
      <c r="A386" t="s">
        <v>771</v>
      </c>
      <c r="B386" t="s">
        <v>180</v>
      </c>
      <c r="C386">
        <v>55</v>
      </c>
      <c r="D386" t="s">
        <v>13</v>
      </c>
      <c r="E386" s="2">
        <v>45930</v>
      </c>
      <c r="F386" s="2">
        <v>45944</v>
      </c>
      <c r="G386" t="s">
        <v>61</v>
      </c>
      <c r="H386" t="s">
        <v>62</v>
      </c>
      <c r="I386" s="3">
        <v>27685.69</v>
      </c>
      <c r="J386" s="4">
        <v>70</v>
      </c>
      <c r="K386" t="s">
        <v>16</v>
      </c>
      <c r="L386" t="str" cm="1">
        <f t="array" ref="L386">_xlfn.IFS(C386&lt;18,"under 18",C386&lt;36,"btw 18 &amp; 35",C386&lt;51,"btw 36 &amp;50",C386&lt;66,"btw 51 &amp; 66",C386&gt;66,"66 &amp; above")</f>
        <v>btw 51 &amp; 66</v>
      </c>
      <c r="M386">
        <f t="shared" si="6"/>
        <v>14</v>
      </c>
    </row>
    <row r="387" spans="1:13" x14ac:dyDescent="0.25">
      <c r="A387" t="s">
        <v>772</v>
      </c>
      <c r="B387" t="s">
        <v>773</v>
      </c>
      <c r="C387">
        <v>24</v>
      </c>
      <c r="D387" t="s">
        <v>13</v>
      </c>
      <c r="E387" s="2">
        <v>45591</v>
      </c>
      <c r="F387" s="2">
        <v>45595</v>
      </c>
      <c r="G387" t="s">
        <v>32</v>
      </c>
      <c r="H387" t="s">
        <v>88</v>
      </c>
      <c r="I387" s="3">
        <v>3028.33</v>
      </c>
      <c r="J387" s="4">
        <v>70</v>
      </c>
      <c r="K387" t="s">
        <v>21</v>
      </c>
      <c r="L387" t="str" cm="1">
        <f t="array" ref="L387">_xlfn.IFS(C387&lt;18,"under 18",C387&lt;36,"btw 18 &amp; 35",C387&lt;51,"btw 36 &amp;50",C387&lt;66,"btw 51 &amp; 66",C387&gt;66,"66 &amp; above")</f>
        <v>btw 18 &amp; 35</v>
      </c>
      <c r="M387">
        <f t="shared" ref="M387:M450" si="7">AVERAGE(F387-E387)</f>
        <v>4</v>
      </c>
    </row>
    <row r="388" spans="1:13" x14ac:dyDescent="0.25">
      <c r="A388" t="s">
        <v>774</v>
      </c>
      <c r="B388" t="s">
        <v>775</v>
      </c>
      <c r="C388">
        <v>70</v>
      </c>
      <c r="D388" t="s">
        <v>13</v>
      </c>
      <c r="E388" s="2">
        <v>45751</v>
      </c>
      <c r="F388" s="2">
        <v>45765</v>
      </c>
      <c r="G388" t="s">
        <v>61</v>
      </c>
      <c r="H388" t="s">
        <v>75</v>
      </c>
      <c r="I388" s="3">
        <v>37544.019999999997</v>
      </c>
      <c r="J388" s="4">
        <v>80</v>
      </c>
      <c r="K388" t="s">
        <v>16</v>
      </c>
      <c r="L388" t="str" cm="1">
        <f t="array" ref="L388">_xlfn.IFS(C388&lt;18,"under 18",C388&lt;36,"btw 18 &amp; 35",C388&lt;51,"btw 36 &amp;50",C388&lt;66,"btw 51 &amp; 66",C388&gt;66,"66 &amp; above")</f>
        <v>66 &amp; above</v>
      </c>
      <c r="M388">
        <f t="shared" si="7"/>
        <v>14</v>
      </c>
    </row>
    <row r="389" spans="1:13" x14ac:dyDescent="0.25">
      <c r="A389" t="s">
        <v>776</v>
      </c>
      <c r="B389" t="s">
        <v>777</v>
      </c>
      <c r="C389">
        <v>32</v>
      </c>
      <c r="D389" t="s">
        <v>13</v>
      </c>
      <c r="E389" s="2">
        <v>45444</v>
      </c>
      <c r="F389" s="2">
        <v>45451</v>
      </c>
      <c r="G389" t="s">
        <v>71</v>
      </c>
      <c r="H389" t="s">
        <v>158</v>
      </c>
      <c r="I389" s="3">
        <v>17899.3</v>
      </c>
      <c r="J389" s="4">
        <v>70</v>
      </c>
      <c r="K389" t="s">
        <v>26</v>
      </c>
      <c r="L389" t="str" cm="1">
        <f t="array" ref="L389">_xlfn.IFS(C389&lt;18,"under 18",C389&lt;36,"btw 18 &amp; 35",C389&lt;51,"btw 36 &amp;50",C389&lt;66,"btw 51 &amp; 66",C389&gt;66,"66 &amp; above")</f>
        <v>btw 18 &amp; 35</v>
      </c>
      <c r="M389">
        <f t="shared" si="7"/>
        <v>7</v>
      </c>
    </row>
    <row r="390" spans="1:13" x14ac:dyDescent="0.25">
      <c r="A390" t="s">
        <v>778</v>
      </c>
      <c r="B390" t="s">
        <v>779</v>
      </c>
      <c r="C390">
        <v>11</v>
      </c>
      <c r="D390" t="s">
        <v>13</v>
      </c>
      <c r="E390" s="2">
        <v>46010</v>
      </c>
      <c r="F390" s="2">
        <v>46013</v>
      </c>
      <c r="G390" t="s">
        <v>50</v>
      </c>
      <c r="H390" t="s">
        <v>51</v>
      </c>
      <c r="I390" s="3">
        <v>5297.21</v>
      </c>
      <c r="J390" s="4">
        <v>80</v>
      </c>
      <c r="K390" t="s">
        <v>16</v>
      </c>
      <c r="L390" t="str" cm="1">
        <f t="array" ref="L390">_xlfn.IFS(C390&lt;18,"under 18",C390&lt;36,"btw 18 &amp; 35",C390&lt;51,"btw 36 &amp;50",C390&lt;66,"btw 51 &amp; 66",C390&gt;66,"66 &amp; above")</f>
        <v>under 18</v>
      </c>
      <c r="M390">
        <f t="shared" si="7"/>
        <v>3</v>
      </c>
    </row>
    <row r="391" spans="1:13" x14ac:dyDescent="0.25">
      <c r="A391" t="s">
        <v>780</v>
      </c>
      <c r="B391" t="s">
        <v>781</v>
      </c>
      <c r="C391">
        <v>46</v>
      </c>
      <c r="D391" t="s">
        <v>13</v>
      </c>
      <c r="E391" s="2">
        <v>45305</v>
      </c>
      <c r="F391" s="2">
        <v>45313</v>
      </c>
      <c r="G391" t="s">
        <v>14</v>
      </c>
      <c r="H391" t="s">
        <v>103</v>
      </c>
      <c r="I391" s="3">
        <v>10640.24</v>
      </c>
      <c r="J391" s="4">
        <v>0</v>
      </c>
      <c r="K391" t="s">
        <v>26</v>
      </c>
      <c r="L391" t="str" cm="1">
        <f t="array" ref="L391">_xlfn.IFS(C391&lt;18,"under 18",C391&lt;36,"btw 18 &amp; 35",C391&lt;51,"btw 36 &amp;50",C391&lt;66,"btw 51 &amp; 66",C391&gt;66,"66 &amp; above")</f>
        <v>btw 36 &amp;50</v>
      </c>
      <c r="M391">
        <f t="shared" si="7"/>
        <v>8</v>
      </c>
    </row>
    <row r="392" spans="1:13" x14ac:dyDescent="0.25">
      <c r="A392" t="s">
        <v>782</v>
      </c>
      <c r="B392" t="s">
        <v>387</v>
      </c>
      <c r="C392">
        <v>40</v>
      </c>
      <c r="D392" t="s">
        <v>19</v>
      </c>
      <c r="E392" s="2">
        <v>45636</v>
      </c>
      <c r="F392" s="2">
        <v>45639</v>
      </c>
      <c r="G392" t="s">
        <v>71</v>
      </c>
      <c r="H392" t="s">
        <v>72</v>
      </c>
      <c r="I392" s="3">
        <v>3660.71</v>
      </c>
      <c r="J392" s="4">
        <v>70</v>
      </c>
      <c r="K392" t="s">
        <v>26</v>
      </c>
      <c r="L392" t="str" cm="1">
        <f t="array" ref="L392">_xlfn.IFS(C392&lt;18,"under 18",C392&lt;36,"btw 18 &amp; 35",C392&lt;51,"btw 36 &amp;50",C392&lt;66,"btw 51 &amp; 66",C392&gt;66,"66 &amp; above")</f>
        <v>btw 36 &amp;50</v>
      </c>
      <c r="M392">
        <f t="shared" si="7"/>
        <v>3</v>
      </c>
    </row>
    <row r="393" spans="1:13" x14ac:dyDescent="0.25">
      <c r="A393" t="s">
        <v>783</v>
      </c>
      <c r="B393" t="s">
        <v>784</v>
      </c>
      <c r="C393">
        <v>42</v>
      </c>
      <c r="D393" t="s">
        <v>19</v>
      </c>
      <c r="E393" s="2">
        <v>45941</v>
      </c>
      <c r="F393" s="2">
        <v>45947</v>
      </c>
      <c r="G393" t="s">
        <v>71</v>
      </c>
      <c r="H393" t="s">
        <v>95</v>
      </c>
      <c r="I393" s="3">
        <v>10028.68</v>
      </c>
      <c r="J393" s="4">
        <v>80</v>
      </c>
      <c r="K393" t="s">
        <v>21</v>
      </c>
      <c r="L393" t="str" cm="1">
        <f t="array" ref="L393">_xlfn.IFS(C393&lt;18,"under 18",C393&lt;36,"btw 18 &amp; 35",C393&lt;51,"btw 36 &amp;50",C393&lt;66,"btw 51 &amp; 66",C393&gt;66,"66 &amp; above")</f>
        <v>btw 36 &amp;50</v>
      </c>
      <c r="M393">
        <f t="shared" si="7"/>
        <v>6</v>
      </c>
    </row>
    <row r="394" spans="1:13" x14ac:dyDescent="0.25">
      <c r="A394" t="s">
        <v>785</v>
      </c>
      <c r="B394" t="s">
        <v>786</v>
      </c>
      <c r="C394">
        <v>9</v>
      </c>
      <c r="D394" t="s">
        <v>19</v>
      </c>
      <c r="E394" s="2">
        <v>45296</v>
      </c>
      <c r="F394" s="2">
        <v>45301</v>
      </c>
      <c r="G394" t="s">
        <v>50</v>
      </c>
      <c r="H394" t="s">
        <v>131</v>
      </c>
      <c r="I394" s="3">
        <v>7238.61</v>
      </c>
      <c r="J394" s="4">
        <v>50</v>
      </c>
      <c r="K394" t="s">
        <v>21</v>
      </c>
      <c r="L394" t="str" cm="1">
        <f t="array" ref="L394">_xlfn.IFS(C394&lt;18,"under 18",C394&lt;36,"btw 18 &amp; 35",C394&lt;51,"btw 36 &amp;50",C394&lt;66,"btw 51 &amp; 66",C394&gt;66,"66 &amp; above")</f>
        <v>under 18</v>
      </c>
      <c r="M394">
        <f t="shared" si="7"/>
        <v>5</v>
      </c>
    </row>
    <row r="395" spans="1:13" x14ac:dyDescent="0.25">
      <c r="A395" t="s">
        <v>787</v>
      </c>
      <c r="B395" t="s">
        <v>788</v>
      </c>
      <c r="C395">
        <v>29</v>
      </c>
      <c r="D395" t="s">
        <v>19</v>
      </c>
      <c r="E395" s="2">
        <v>45292</v>
      </c>
      <c r="F395" s="2">
        <v>45293</v>
      </c>
      <c r="G395" t="s">
        <v>32</v>
      </c>
      <c r="H395" t="s">
        <v>45</v>
      </c>
      <c r="I395" s="3">
        <v>969.55</v>
      </c>
      <c r="J395" s="4">
        <v>90</v>
      </c>
      <c r="K395" t="s">
        <v>16</v>
      </c>
      <c r="L395" t="str" cm="1">
        <f t="array" ref="L395">_xlfn.IFS(C395&lt;18,"under 18",C395&lt;36,"btw 18 &amp; 35",C395&lt;51,"btw 36 &amp;50",C395&lt;66,"btw 51 &amp; 66",C395&gt;66,"66 &amp; above")</f>
        <v>btw 18 &amp; 35</v>
      </c>
      <c r="M395">
        <f t="shared" si="7"/>
        <v>1</v>
      </c>
    </row>
    <row r="396" spans="1:13" x14ac:dyDescent="0.25">
      <c r="A396" t="s">
        <v>789</v>
      </c>
      <c r="B396" t="s">
        <v>790</v>
      </c>
      <c r="C396">
        <v>63</v>
      </c>
      <c r="D396" t="s">
        <v>13</v>
      </c>
      <c r="E396" s="2">
        <v>45500</v>
      </c>
      <c r="F396" s="2">
        <v>45510</v>
      </c>
      <c r="G396" t="s">
        <v>14</v>
      </c>
      <c r="H396" t="s">
        <v>20</v>
      </c>
      <c r="I396" s="3">
        <v>29016.400000000001</v>
      </c>
      <c r="J396" s="4">
        <v>70</v>
      </c>
      <c r="K396" t="s">
        <v>16</v>
      </c>
      <c r="L396" t="str" cm="1">
        <f t="array" ref="L396">_xlfn.IFS(C396&lt;18,"under 18",C396&lt;36,"btw 18 &amp; 35",C396&lt;51,"btw 36 &amp;50",C396&lt;66,"btw 51 &amp; 66",C396&gt;66,"66 &amp; above")</f>
        <v>btw 51 &amp; 66</v>
      </c>
      <c r="M396">
        <f t="shared" si="7"/>
        <v>10</v>
      </c>
    </row>
    <row r="397" spans="1:13" x14ac:dyDescent="0.25">
      <c r="A397" t="s">
        <v>791</v>
      </c>
      <c r="B397" t="s">
        <v>792</v>
      </c>
      <c r="C397">
        <v>15</v>
      </c>
      <c r="D397" t="s">
        <v>19</v>
      </c>
      <c r="E397" s="2">
        <v>45857</v>
      </c>
      <c r="F397" s="2">
        <v>45861</v>
      </c>
      <c r="G397" t="s">
        <v>50</v>
      </c>
      <c r="H397" t="s">
        <v>118</v>
      </c>
      <c r="I397" s="3">
        <v>6415.8</v>
      </c>
      <c r="J397" s="4">
        <v>80</v>
      </c>
      <c r="K397" t="s">
        <v>16</v>
      </c>
      <c r="L397" t="str" cm="1">
        <f t="array" ref="L397">_xlfn.IFS(C397&lt;18,"under 18",C397&lt;36,"btw 18 &amp; 35",C397&lt;51,"btw 36 &amp;50",C397&lt;66,"btw 51 &amp; 66",C397&gt;66,"66 &amp; above")</f>
        <v>under 18</v>
      </c>
      <c r="M397">
        <f t="shared" si="7"/>
        <v>4</v>
      </c>
    </row>
    <row r="398" spans="1:13" x14ac:dyDescent="0.25">
      <c r="A398" t="s">
        <v>793</v>
      </c>
      <c r="B398" t="s">
        <v>794</v>
      </c>
      <c r="C398">
        <v>54</v>
      </c>
      <c r="D398" t="s">
        <v>13</v>
      </c>
      <c r="E398" s="2">
        <v>45646</v>
      </c>
      <c r="F398" s="2">
        <v>45651</v>
      </c>
      <c r="G398" t="s">
        <v>14</v>
      </c>
      <c r="H398" t="s">
        <v>103</v>
      </c>
      <c r="I398" s="3">
        <v>12816.46</v>
      </c>
      <c r="J398" s="4">
        <v>50</v>
      </c>
      <c r="K398" t="s">
        <v>16</v>
      </c>
      <c r="L398" t="str" cm="1">
        <f t="array" ref="L398">_xlfn.IFS(C398&lt;18,"under 18",C398&lt;36,"btw 18 &amp; 35",C398&lt;51,"btw 36 &amp;50",C398&lt;66,"btw 51 &amp; 66",C398&gt;66,"66 &amp; above")</f>
        <v>btw 51 &amp; 66</v>
      </c>
      <c r="M398">
        <f t="shared" si="7"/>
        <v>5</v>
      </c>
    </row>
    <row r="399" spans="1:13" x14ac:dyDescent="0.25">
      <c r="A399" t="s">
        <v>795</v>
      </c>
      <c r="B399" t="s">
        <v>796</v>
      </c>
      <c r="C399">
        <v>77</v>
      </c>
      <c r="D399" t="s">
        <v>19</v>
      </c>
      <c r="E399" s="2">
        <v>45582</v>
      </c>
      <c r="F399" s="2">
        <v>45585</v>
      </c>
      <c r="G399" t="s">
        <v>14</v>
      </c>
      <c r="H399" t="s">
        <v>166</v>
      </c>
      <c r="I399" s="3">
        <v>7577.11</v>
      </c>
      <c r="J399" s="4">
        <v>80</v>
      </c>
      <c r="K399" t="s">
        <v>16</v>
      </c>
      <c r="L399" t="str" cm="1">
        <f t="array" ref="L399">_xlfn.IFS(C399&lt;18,"under 18",C399&lt;36,"btw 18 &amp; 35",C399&lt;51,"btw 36 &amp;50",C399&lt;66,"btw 51 &amp; 66",C399&gt;66,"66 &amp; above")</f>
        <v>66 &amp; above</v>
      </c>
      <c r="M399">
        <f t="shared" si="7"/>
        <v>3</v>
      </c>
    </row>
    <row r="400" spans="1:13" x14ac:dyDescent="0.25">
      <c r="A400" t="s">
        <v>797</v>
      </c>
      <c r="B400" t="s">
        <v>798</v>
      </c>
      <c r="C400">
        <v>35</v>
      </c>
      <c r="D400" t="s">
        <v>13</v>
      </c>
      <c r="E400" s="2">
        <v>45641</v>
      </c>
      <c r="F400" s="2">
        <v>45642</v>
      </c>
      <c r="G400" t="s">
        <v>24</v>
      </c>
      <c r="H400" t="s">
        <v>205</v>
      </c>
      <c r="I400" s="3">
        <v>1670.53</v>
      </c>
      <c r="J400" s="4">
        <v>80</v>
      </c>
      <c r="K400" t="s">
        <v>16</v>
      </c>
      <c r="L400" t="str" cm="1">
        <f t="array" ref="L400">_xlfn.IFS(C400&lt;18,"under 18",C400&lt;36,"btw 18 &amp; 35",C400&lt;51,"btw 36 &amp;50",C400&lt;66,"btw 51 &amp; 66",C400&gt;66,"66 &amp; above")</f>
        <v>btw 18 &amp; 35</v>
      </c>
      <c r="M400">
        <f t="shared" si="7"/>
        <v>1</v>
      </c>
    </row>
    <row r="401" spans="1:13" x14ac:dyDescent="0.25">
      <c r="A401" t="s">
        <v>799</v>
      </c>
      <c r="B401" t="s">
        <v>800</v>
      </c>
      <c r="C401">
        <v>58</v>
      </c>
      <c r="D401" t="s">
        <v>13</v>
      </c>
      <c r="E401" s="2">
        <v>45390</v>
      </c>
      <c r="F401" s="2">
        <v>45398</v>
      </c>
      <c r="G401" t="s">
        <v>61</v>
      </c>
      <c r="H401" t="s">
        <v>75</v>
      </c>
      <c r="I401" s="3">
        <v>19956.13</v>
      </c>
      <c r="J401" s="4">
        <v>100</v>
      </c>
      <c r="K401" t="s">
        <v>16</v>
      </c>
      <c r="L401" t="str" cm="1">
        <f t="array" ref="L401">_xlfn.IFS(C401&lt;18,"under 18",C401&lt;36,"btw 18 &amp; 35",C401&lt;51,"btw 36 &amp;50",C401&lt;66,"btw 51 &amp; 66",C401&gt;66,"66 &amp; above")</f>
        <v>btw 51 &amp; 66</v>
      </c>
      <c r="M401">
        <f t="shared" si="7"/>
        <v>8</v>
      </c>
    </row>
    <row r="402" spans="1:13" x14ac:dyDescent="0.25">
      <c r="A402" t="s">
        <v>801</v>
      </c>
      <c r="B402" t="s">
        <v>378</v>
      </c>
      <c r="C402">
        <v>73</v>
      </c>
      <c r="D402" t="s">
        <v>13</v>
      </c>
      <c r="E402" s="2">
        <v>45441</v>
      </c>
      <c r="F402" s="2">
        <v>45443</v>
      </c>
      <c r="G402" t="s">
        <v>24</v>
      </c>
      <c r="H402" t="s">
        <v>83</v>
      </c>
      <c r="I402" s="3">
        <v>2111.6799999999998</v>
      </c>
      <c r="J402" s="4">
        <v>90</v>
      </c>
      <c r="K402" t="s">
        <v>16</v>
      </c>
      <c r="L402" t="str" cm="1">
        <f t="array" ref="L402">_xlfn.IFS(C402&lt;18,"under 18",C402&lt;36,"btw 18 &amp; 35",C402&lt;51,"btw 36 &amp;50",C402&lt;66,"btw 51 &amp; 66",C402&gt;66,"66 &amp; above")</f>
        <v>66 &amp; above</v>
      </c>
      <c r="M402">
        <f t="shared" si="7"/>
        <v>2</v>
      </c>
    </row>
    <row r="403" spans="1:13" x14ac:dyDescent="0.25">
      <c r="A403" t="s">
        <v>802</v>
      </c>
      <c r="B403" t="s">
        <v>803</v>
      </c>
      <c r="C403">
        <v>40</v>
      </c>
      <c r="D403" t="s">
        <v>19</v>
      </c>
      <c r="E403" s="2">
        <v>45336</v>
      </c>
      <c r="F403" s="2">
        <v>45342</v>
      </c>
      <c r="G403" t="s">
        <v>61</v>
      </c>
      <c r="H403" t="s">
        <v>143</v>
      </c>
      <c r="I403" s="3">
        <v>9466.9</v>
      </c>
      <c r="J403" s="4">
        <v>70</v>
      </c>
      <c r="K403" t="s">
        <v>26</v>
      </c>
      <c r="L403" t="str" cm="1">
        <f t="array" ref="L403">_xlfn.IFS(C403&lt;18,"under 18",C403&lt;36,"btw 18 &amp; 35",C403&lt;51,"btw 36 &amp;50",C403&lt;66,"btw 51 &amp; 66",C403&gt;66,"66 &amp; above")</f>
        <v>btw 36 &amp;50</v>
      </c>
      <c r="M403">
        <f t="shared" si="7"/>
        <v>6</v>
      </c>
    </row>
    <row r="404" spans="1:13" x14ac:dyDescent="0.25">
      <c r="A404" t="s">
        <v>804</v>
      </c>
      <c r="B404" t="s">
        <v>805</v>
      </c>
      <c r="C404">
        <v>42</v>
      </c>
      <c r="D404" t="s">
        <v>19</v>
      </c>
      <c r="E404" s="2">
        <v>45294</v>
      </c>
      <c r="F404" s="2">
        <v>45304</v>
      </c>
      <c r="G404" t="s">
        <v>71</v>
      </c>
      <c r="H404" t="s">
        <v>195</v>
      </c>
      <c r="I404" s="3">
        <v>20681.509999999998</v>
      </c>
      <c r="J404" s="4">
        <v>90</v>
      </c>
      <c r="K404" t="s">
        <v>16</v>
      </c>
      <c r="L404" t="str" cm="1">
        <f t="array" ref="L404">_xlfn.IFS(C404&lt;18,"under 18",C404&lt;36,"btw 18 &amp; 35",C404&lt;51,"btw 36 &amp;50",C404&lt;66,"btw 51 &amp; 66",C404&gt;66,"66 &amp; above")</f>
        <v>btw 36 &amp;50</v>
      </c>
      <c r="M404">
        <f t="shared" si="7"/>
        <v>10</v>
      </c>
    </row>
    <row r="405" spans="1:13" x14ac:dyDescent="0.25">
      <c r="A405" t="s">
        <v>806</v>
      </c>
      <c r="B405" t="s">
        <v>807</v>
      </c>
      <c r="C405">
        <v>12</v>
      </c>
      <c r="D405" t="s">
        <v>13</v>
      </c>
      <c r="E405" s="2">
        <v>45750</v>
      </c>
      <c r="F405" s="2">
        <v>45754</v>
      </c>
      <c r="G405" t="s">
        <v>50</v>
      </c>
      <c r="H405" t="s">
        <v>131</v>
      </c>
      <c r="I405" s="3">
        <v>2556.54</v>
      </c>
      <c r="J405" s="4">
        <v>100</v>
      </c>
      <c r="K405" t="s">
        <v>16</v>
      </c>
      <c r="L405" t="str" cm="1">
        <f t="array" ref="L405">_xlfn.IFS(C405&lt;18,"under 18",C405&lt;36,"btw 18 &amp; 35",C405&lt;51,"btw 36 &amp;50",C405&lt;66,"btw 51 &amp; 66",C405&gt;66,"66 &amp; above")</f>
        <v>under 18</v>
      </c>
      <c r="M405">
        <f t="shared" si="7"/>
        <v>4</v>
      </c>
    </row>
    <row r="406" spans="1:13" x14ac:dyDescent="0.25">
      <c r="A406" t="s">
        <v>808</v>
      </c>
      <c r="B406" t="s">
        <v>809</v>
      </c>
      <c r="C406">
        <v>67</v>
      </c>
      <c r="D406" t="s">
        <v>13</v>
      </c>
      <c r="E406" s="2">
        <v>45359</v>
      </c>
      <c r="F406" s="2">
        <v>45367</v>
      </c>
      <c r="G406" t="s">
        <v>71</v>
      </c>
      <c r="H406" t="s">
        <v>72</v>
      </c>
      <c r="I406" s="3">
        <v>20496.009999999998</v>
      </c>
      <c r="J406" s="4">
        <v>100</v>
      </c>
      <c r="K406" t="s">
        <v>21</v>
      </c>
      <c r="L406" t="str" cm="1">
        <f t="array" ref="L406">_xlfn.IFS(C406&lt;18,"under 18",C406&lt;36,"btw 18 &amp; 35",C406&lt;51,"btw 36 &amp;50",C406&lt;66,"btw 51 &amp; 66",C406&gt;66,"66 &amp; above")</f>
        <v>66 &amp; above</v>
      </c>
      <c r="M406">
        <f t="shared" si="7"/>
        <v>8</v>
      </c>
    </row>
    <row r="407" spans="1:13" x14ac:dyDescent="0.25">
      <c r="A407" t="s">
        <v>810</v>
      </c>
      <c r="B407" t="s">
        <v>811</v>
      </c>
      <c r="C407">
        <v>1</v>
      </c>
      <c r="D407" t="s">
        <v>13</v>
      </c>
      <c r="E407" s="2">
        <v>45405</v>
      </c>
      <c r="F407" s="2">
        <v>45406</v>
      </c>
      <c r="G407" t="s">
        <v>50</v>
      </c>
      <c r="H407" t="s">
        <v>51</v>
      </c>
      <c r="I407" s="3">
        <v>1269.22</v>
      </c>
      <c r="J407" s="4">
        <v>90</v>
      </c>
      <c r="K407" t="s">
        <v>16</v>
      </c>
      <c r="L407" t="str" cm="1">
        <f t="array" ref="L407">_xlfn.IFS(C407&lt;18,"under 18",C407&lt;36,"btw 18 &amp; 35",C407&lt;51,"btw 36 &amp;50",C407&lt;66,"btw 51 &amp; 66",C407&gt;66,"66 &amp; above")</f>
        <v>under 18</v>
      </c>
      <c r="M407">
        <f t="shared" si="7"/>
        <v>1</v>
      </c>
    </row>
    <row r="408" spans="1:13" x14ac:dyDescent="0.25">
      <c r="A408" t="s">
        <v>812</v>
      </c>
      <c r="B408" t="s">
        <v>813</v>
      </c>
      <c r="C408">
        <v>74</v>
      </c>
      <c r="D408" t="s">
        <v>19</v>
      </c>
      <c r="E408" s="2">
        <v>45527</v>
      </c>
      <c r="F408" s="2">
        <v>45536</v>
      </c>
      <c r="G408" t="s">
        <v>61</v>
      </c>
      <c r="H408" t="s">
        <v>62</v>
      </c>
      <c r="I408" s="3">
        <v>14175.59</v>
      </c>
      <c r="J408" s="4">
        <v>70</v>
      </c>
      <c r="K408" t="s">
        <v>26</v>
      </c>
      <c r="L408" t="str" cm="1">
        <f t="array" ref="L408">_xlfn.IFS(C408&lt;18,"under 18",C408&lt;36,"btw 18 &amp; 35",C408&lt;51,"btw 36 &amp;50",C408&lt;66,"btw 51 &amp; 66",C408&gt;66,"66 &amp; above")</f>
        <v>66 &amp; above</v>
      </c>
      <c r="M408">
        <f t="shared" si="7"/>
        <v>9</v>
      </c>
    </row>
    <row r="409" spans="1:13" x14ac:dyDescent="0.25">
      <c r="A409" t="s">
        <v>814</v>
      </c>
      <c r="B409" t="s">
        <v>815</v>
      </c>
      <c r="C409">
        <v>36</v>
      </c>
      <c r="D409" t="s">
        <v>19</v>
      </c>
      <c r="E409" s="2">
        <v>45845</v>
      </c>
      <c r="F409" s="2">
        <v>45847</v>
      </c>
      <c r="G409" t="s">
        <v>24</v>
      </c>
      <c r="H409" t="s">
        <v>334</v>
      </c>
      <c r="I409" s="3">
        <v>2258.0700000000002</v>
      </c>
      <c r="J409" s="4">
        <v>80</v>
      </c>
      <c r="K409" t="s">
        <v>16</v>
      </c>
      <c r="L409" t="str" cm="1">
        <f t="array" ref="L409">_xlfn.IFS(C409&lt;18,"under 18",C409&lt;36,"btw 18 &amp; 35",C409&lt;51,"btw 36 &amp;50",C409&lt;66,"btw 51 &amp; 66",C409&gt;66,"66 &amp; above")</f>
        <v>btw 36 &amp;50</v>
      </c>
      <c r="M409">
        <f t="shared" si="7"/>
        <v>2</v>
      </c>
    </row>
    <row r="410" spans="1:13" x14ac:dyDescent="0.25">
      <c r="A410" t="s">
        <v>816</v>
      </c>
      <c r="B410" t="s">
        <v>817</v>
      </c>
      <c r="C410">
        <v>53</v>
      </c>
      <c r="D410" t="s">
        <v>13</v>
      </c>
      <c r="E410" s="2">
        <v>45980</v>
      </c>
      <c r="F410" s="2">
        <v>45981</v>
      </c>
      <c r="G410" t="s">
        <v>32</v>
      </c>
      <c r="H410" t="s">
        <v>115</v>
      </c>
      <c r="I410" s="3">
        <v>1471.29</v>
      </c>
      <c r="J410" s="4">
        <v>80</v>
      </c>
      <c r="K410" t="s">
        <v>16</v>
      </c>
      <c r="L410" t="str" cm="1">
        <f t="array" ref="L410">_xlfn.IFS(C410&lt;18,"under 18",C410&lt;36,"btw 18 &amp; 35",C410&lt;51,"btw 36 &amp;50",C410&lt;66,"btw 51 &amp; 66",C410&gt;66,"66 &amp; above")</f>
        <v>btw 51 &amp; 66</v>
      </c>
      <c r="M410">
        <f t="shared" si="7"/>
        <v>1</v>
      </c>
    </row>
    <row r="411" spans="1:13" x14ac:dyDescent="0.25">
      <c r="A411" t="s">
        <v>818</v>
      </c>
      <c r="B411" t="s">
        <v>819</v>
      </c>
      <c r="C411">
        <v>7</v>
      </c>
      <c r="D411" t="s">
        <v>19</v>
      </c>
      <c r="E411" s="2">
        <v>45755</v>
      </c>
      <c r="F411" s="2">
        <v>45759</v>
      </c>
      <c r="G411" t="s">
        <v>50</v>
      </c>
      <c r="H411" t="s">
        <v>51</v>
      </c>
      <c r="I411" s="3">
        <v>4671.33</v>
      </c>
      <c r="J411" s="4">
        <v>70</v>
      </c>
      <c r="K411" t="s">
        <v>16</v>
      </c>
      <c r="L411" t="str" cm="1">
        <f t="array" ref="L411">_xlfn.IFS(C411&lt;18,"under 18",C411&lt;36,"btw 18 &amp; 35",C411&lt;51,"btw 36 &amp;50",C411&lt;66,"btw 51 &amp; 66",C411&gt;66,"66 &amp; above")</f>
        <v>under 18</v>
      </c>
      <c r="M411">
        <f t="shared" si="7"/>
        <v>4</v>
      </c>
    </row>
    <row r="412" spans="1:13" x14ac:dyDescent="0.25">
      <c r="A412" t="s">
        <v>820</v>
      </c>
      <c r="B412" t="s">
        <v>821</v>
      </c>
      <c r="C412">
        <v>56</v>
      </c>
      <c r="D412" t="s">
        <v>13</v>
      </c>
      <c r="E412" s="2">
        <v>46015</v>
      </c>
      <c r="F412" s="2">
        <v>46018</v>
      </c>
      <c r="G412" t="s">
        <v>24</v>
      </c>
      <c r="H412" t="s">
        <v>29</v>
      </c>
      <c r="I412" s="3">
        <v>3856.57</v>
      </c>
      <c r="J412" s="4">
        <v>70</v>
      </c>
      <c r="K412" t="s">
        <v>16</v>
      </c>
      <c r="L412" t="str" cm="1">
        <f t="array" ref="L412">_xlfn.IFS(C412&lt;18,"under 18",C412&lt;36,"btw 18 &amp; 35",C412&lt;51,"btw 36 &amp;50",C412&lt;66,"btw 51 &amp; 66",C412&gt;66,"66 &amp; above")</f>
        <v>btw 51 &amp; 66</v>
      </c>
      <c r="M412">
        <f t="shared" si="7"/>
        <v>3</v>
      </c>
    </row>
    <row r="413" spans="1:13" x14ac:dyDescent="0.25">
      <c r="A413" t="s">
        <v>822</v>
      </c>
      <c r="B413" t="s">
        <v>770</v>
      </c>
      <c r="C413">
        <v>42</v>
      </c>
      <c r="D413" t="s">
        <v>19</v>
      </c>
      <c r="E413" s="2">
        <v>45970</v>
      </c>
      <c r="F413" s="2">
        <v>45979</v>
      </c>
      <c r="G413" t="s">
        <v>14</v>
      </c>
      <c r="H413" t="s">
        <v>112</v>
      </c>
      <c r="I413" s="3">
        <v>22775.06</v>
      </c>
      <c r="J413" s="4">
        <v>80</v>
      </c>
      <c r="K413" t="s">
        <v>16</v>
      </c>
      <c r="L413" t="str" cm="1">
        <f t="array" ref="L413">_xlfn.IFS(C413&lt;18,"under 18",C413&lt;36,"btw 18 &amp; 35",C413&lt;51,"btw 36 &amp;50",C413&lt;66,"btw 51 &amp; 66",C413&gt;66,"66 &amp; above")</f>
        <v>btw 36 &amp;50</v>
      </c>
      <c r="M413">
        <f t="shared" si="7"/>
        <v>9</v>
      </c>
    </row>
    <row r="414" spans="1:13" x14ac:dyDescent="0.25">
      <c r="A414" t="s">
        <v>823</v>
      </c>
      <c r="B414" t="s">
        <v>824</v>
      </c>
      <c r="C414">
        <v>53</v>
      </c>
      <c r="D414" t="s">
        <v>19</v>
      </c>
      <c r="E414" s="2">
        <v>45375</v>
      </c>
      <c r="F414" s="2">
        <v>45377</v>
      </c>
      <c r="G414" t="s">
        <v>24</v>
      </c>
      <c r="H414" t="s">
        <v>42</v>
      </c>
      <c r="I414" s="3">
        <v>2542.9899999999998</v>
      </c>
      <c r="J414" s="4">
        <v>60</v>
      </c>
      <c r="K414" t="s">
        <v>21</v>
      </c>
      <c r="L414" t="str" cm="1">
        <f t="array" ref="L414">_xlfn.IFS(C414&lt;18,"under 18",C414&lt;36,"btw 18 &amp; 35",C414&lt;51,"btw 36 &amp;50",C414&lt;66,"btw 51 &amp; 66",C414&gt;66,"66 &amp; above")</f>
        <v>btw 51 &amp; 66</v>
      </c>
      <c r="M414">
        <f t="shared" si="7"/>
        <v>2</v>
      </c>
    </row>
    <row r="415" spans="1:13" x14ac:dyDescent="0.25">
      <c r="A415" t="s">
        <v>825</v>
      </c>
      <c r="B415" t="s">
        <v>826</v>
      </c>
      <c r="C415">
        <v>4</v>
      </c>
      <c r="D415" t="s">
        <v>19</v>
      </c>
      <c r="E415" s="2">
        <v>45840</v>
      </c>
      <c r="F415" s="2">
        <v>45844</v>
      </c>
      <c r="G415" t="s">
        <v>50</v>
      </c>
      <c r="H415" t="s">
        <v>118</v>
      </c>
      <c r="I415" s="3">
        <v>7044.38</v>
      </c>
      <c r="J415" s="4">
        <v>90</v>
      </c>
      <c r="K415" t="s">
        <v>16</v>
      </c>
      <c r="L415" t="str" cm="1">
        <f t="array" ref="L415">_xlfn.IFS(C415&lt;18,"under 18",C415&lt;36,"btw 18 &amp; 35",C415&lt;51,"btw 36 &amp;50",C415&lt;66,"btw 51 &amp; 66",C415&gt;66,"66 &amp; above")</f>
        <v>under 18</v>
      </c>
      <c r="M415">
        <f t="shared" si="7"/>
        <v>4</v>
      </c>
    </row>
    <row r="416" spans="1:13" x14ac:dyDescent="0.25">
      <c r="A416" t="s">
        <v>827</v>
      </c>
      <c r="B416" t="s">
        <v>828</v>
      </c>
      <c r="C416">
        <v>11</v>
      </c>
      <c r="D416" t="s">
        <v>19</v>
      </c>
      <c r="E416" s="2">
        <v>45752</v>
      </c>
      <c r="F416" s="2">
        <v>45754</v>
      </c>
      <c r="G416" t="s">
        <v>50</v>
      </c>
      <c r="H416" t="s">
        <v>131</v>
      </c>
      <c r="I416" s="3">
        <v>3402.4</v>
      </c>
      <c r="J416" s="4">
        <v>90</v>
      </c>
      <c r="K416" t="s">
        <v>16</v>
      </c>
      <c r="L416" t="str" cm="1">
        <f t="array" ref="L416">_xlfn.IFS(C416&lt;18,"under 18",C416&lt;36,"btw 18 &amp; 35",C416&lt;51,"btw 36 &amp;50",C416&lt;66,"btw 51 &amp; 66",C416&gt;66,"66 &amp; above")</f>
        <v>under 18</v>
      </c>
      <c r="M416">
        <f t="shared" si="7"/>
        <v>2</v>
      </c>
    </row>
    <row r="417" spans="1:13" x14ac:dyDescent="0.25">
      <c r="A417" t="s">
        <v>829</v>
      </c>
      <c r="B417" t="s">
        <v>307</v>
      </c>
      <c r="C417">
        <v>62</v>
      </c>
      <c r="D417" t="s">
        <v>19</v>
      </c>
      <c r="E417" s="2">
        <v>45540</v>
      </c>
      <c r="F417" s="2">
        <v>45545</v>
      </c>
      <c r="G417" t="s">
        <v>61</v>
      </c>
      <c r="H417" t="s">
        <v>143</v>
      </c>
      <c r="I417" s="3">
        <v>13881.6</v>
      </c>
      <c r="J417" s="4">
        <v>70</v>
      </c>
      <c r="K417" t="s">
        <v>16</v>
      </c>
      <c r="L417" t="str" cm="1">
        <f t="array" ref="L417">_xlfn.IFS(C417&lt;18,"under 18",C417&lt;36,"btw 18 &amp; 35",C417&lt;51,"btw 36 &amp;50",C417&lt;66,"btw 51 &amp; 66",C417&gt;66,"66 &amp; above")</f>
        <v>btw 51 &amp; 66</v>
      </c>
      <c r="M417">
        <f t="shared" si="7"/>
        <v>5</v>
      </c>
    </row>
    <row r="418" spans="1:13" x14ac:dyDescent="0.25">
      <c r="A418" t="s">
        <v>830</v>
      </c>
      <c r="B418" t="s">
        <v>831</v>
      </c>
      <c r="C418">
        <v>29</v>
      </c>
      <c r="D418" t="s">
        <v>13</v>
      </c>
      <c r="E418" s="2">
        <v>45748</v>
      </c>
      <c r="F418" s="2">
        <v>45750</v>
      </c>
      <c r="G418" t="s">
        <v>32</v>
      </c>
      <c r="H418" t="s">
        <v>235</v>
      </c>
      <c r="I418" s="3">
        <v>1362.39</v>
      </c>
      <c r="J418" s="4">
        <v>80</v>
      </c>
      <c r="K418" t="s">
        <v>16</v>
      </c>
      <c r="L418" t="str" cm="1">
        <f t="array" ref="L418">_xlfn.IFS(C418&lt;18,"under 18",C418&lt;36,"btw 18 &amp; 35",C418&lt;51,"btw 36 &amp;50",C418&lt;66,"btw 51 &amp; 66",C418&gt;66,"66 &amp; above")</f>
        <v>btw 18 &amp; 35</v>
      </c>
      <c r="M418">
        <f t="shared" si="7"/>
        <v>2</v>
      </c>
    </row>
    <row r="419" spans="1:13" x14ac:dyDescent="0.25">
      <c r="A419" t="s">
        <v>832</v>
      </c>
      <c r="B419" t="s">
        <v>35</v>
      </c>
      <c r="C419">
        <v>2</v>
      </c>
      <c r="D419" t="s">
        <v>13</v>
      </c>
      <c r="E419" s="2">
        <v>45297</v>
      </c>
      <c r="F419" s="2">
        <v>45302</v>
      </c>
      <c r="G419" t="s">
        <v>50</v>
      </c>
      <c r="H419" t="s">
        <v>131</v>
      </c>
      <c r="I419" s="3">
        <v>8510.7800000000007</v>
      </c>
      <c r="J419" s="4">
        <v>70</v>
      </c>
      <c r="K419" t="s">
        <v>16</v>
      </c>
      <c r="L419" t="str" cm="1">
        <f t="array" ref="L419">_xlfn.IFS(C419&lt;18,"under 18",C419&lt;36,"btw 18 &amp; 35",C419&lt;51,"btw 36 &amp;50",C419&lt;66,"btw 51 &amp; 66",C419&gt;66,"66 &amp; above")</f>
        <v>under 18</v>
      </c>
      <c r="M419">
        <f t="shared" si="7"/>
        <v>5</v>
      </c>
    </row>
    <row r="420" spans="1:13" x14ac:dyDescent="0.25">
      <c r="A420" t="s">
        <v>833</v>
      </c>
      <c r="B420" t="s">
        <v>145</v>
      </c>
      <c r="C420">
        <v>67</v>
      </c>
      <c r="D420" t="s">
        <v>13</v>
      </c>
      <c r="E420" s="2">
        <v>45564</v>
      </c>
      <c r="F420" s="2">
        <v>45567</v>
      </c>
      <c r="G420" t="s">
        <v>32</v>
      </c>
      <c r="H420" t="s">
        <v>235</v>
      </c>
      <c r="I420" s="3">
        <v>2154.9699999999998</v>
      </c>
      <c r="J420" s="4">
        <v>90</v>
      </c>
      <c r="K420" t="s">
        <v>16</v>
      </c>
      <c r="L420" t="str" cm="1">
        <f t="array" ref="L420">_xlfn.IFS(C420&lt;18,"under 18",C420&lt;36,"btw 18 &amp; 35",C420&lt;51,"btw 36 &amp;50",C420&lt;66,"btw 51 &amp; 66",C420&gt;66,"66 &amp; above")</f>
        <v>66 &amp; above</v>
      </c>
      <c r="M420">
        <f t="shared" si="7"/>
        <v>3</v>
      </c>
    </row>
    <row r="421" spans="1:13" x14ac:dyDescent="0.25">
      <c r="A421" t="s">
        <v>834</v>
      </c>
      <c r="B421" t="s">
        <v>217</v>
      </c>
      <c r="C421">
        <v>62</v>
      </c>
      <c r="D421" t="s">
        <v>19</v>
      </c>
      <c r="E421" s="2">
        <v>45428</v>
      </c>
      <c r="F421" s="2">
        <v>45431</v>
      </c>
      <c r="G421" t="s">
        <v>32</v>
      </c>
      <c r="H421" t="s">
        <v>235</v>
      </c>
      <c r="I421" s="3">
        <v>1950</v>
      </c>
      <c r="J421" s="4">
        <v>80</v>
      </c>
      <c r="K421" t="s">
        <v>21</v>
      </c>
      <c r="L421" t="str" cm="1">
        <f t="array" ref="L421">_xlfn.IFS(C421&lt;18,"under 18",C421&lt;36,"btw 18 &amp; 35",C421&lt;51,"btw 36 &amp;50",C421&lt;66,"btw 51 &amp; 66",C421&gt;66,"66 &amp; above")</f>
        <v>btw 51 &amp; 66</v>
      </c>
      <c r="M421">
        <f t="shared" si="7"/>
        <v>3</v>
      </c>
    </row>
    <row r="422" spans="1:13" x14ac:dyDescent="0.25">
      <c r="A422" t="s">
        <v>835</v>
      </c>
      <c r="B422" t="s">
        <v>836</v>
      </c>
      <c r="C422">
        <v>72</v>
      </c>
      <c r="D422" t="s">
        <v>19</v>
      </c>
      <c r="E422" s="2">
        <v>45524</v>
      </c>
      <c r="F422" s="2">
        <v>45529</v>
      </c>
      <c r="G422" t="s">
        <v>61</v>
      </c>
      <c r="H422" t="s">
        <v>134</v>
      </c>
      <c r="I422" s="3">
        <v>5004.03</v>
      </c>
      <c r="J422" s="4">
        <v>100</v>
      </c>
      <c r="K422" t="s">
        <v>16</v>
      </c>
      <c r="L422" t="str" cm="1">
        <f t="array" ref="L422">_xlfn.IFS(C422&lt;18,"under 18",C422&lt;36,"btw 18 &amp; 35",C422&lt;51,"btw 36 &amp;50",C422&lt;66,"btw 51 &amp; 66",C422&gt;66,"66 &amp; above")</f>
        <v>66 &amp; above</v>
      </c>
      <c r="M422">
        <f t="shared" si="7"/>
        <v>5</v>
      </c>
    </row>
    <row r="423" spans="1:13" x14ac:dyDescent="0.25">
      <c r="A423" t="s">
        <v>837</v>
      </c>
      <c r="B423" t="s">
        <v>505</v>
      </c>
      <c r="C423">
        <v>63</v>
      </c>
      <c r="D423" t="s">
        <v>13</v>
      </c>
      <c r="E423" s="2">
        <v>45376</v>
      </c>
      <c r="F423" s="2">
        <v>45383</v>
      </c>
      <c r="G423" t="s">
        <v>71</v>
      </c>
      <c r="H423" t="s">
        <v>158</v>
      </c>
      <c r="I423" s="3">
        <v>7752.04</v>
      </c>
      <c r="J423" s="4">
        <v>90</v>
      </c>
      <c r="K423" t="s">
        <v>16</v>
      </c>
      <c r="L423" t="str" cm="1">
        <f t="array" ref="L423">_xlfn.IFS(C423&lt;18,"under 18",C423&lt;36,"btw 18 &amp; 35",C423&lt;51,"btw 36 &amp;50",C423&lt;66,"btw 51 &amp; 66",C423&gt;66,"66 &amp; above")</f>
        <v>btw 51 &amp; 66</v>
      </c>
      <c r="M423">
        <f t="shared" si="7"/>
        <v>7</v>
      </c>
    </row>
    <row r="424" spans="1:13" x14ac:dyDescent="0.25">
      <c r="A424" t="s">
        <v>838</v>
      </c>
      <c r="B424" t="s">
        <v>240</v>
      </c>
      <c r="C424">
        <v>69</v>
      </c>
      <c r="D424" t="s">
        <v>13</v>
      </c>
      <c r="E424" s="2">
        <v>45331</v>
      </c>
      <c r="F424" s="2">
        <v>45336</v>
      </c>
      <c r="G424" t="s">
        <v>61</v>
      </c>
      <c r="H424" t="s">
        <v>98</v>
      </c>
      <c r="I424" s="3">
        <v>6986.97</v>
      </c>
      <c r="J424" s="4">
        <v>100</v>
      </c>
      <c r="K424" t="s">
        <v>21</v>
      </c>
      <c r="L424" t="str" cm="1">
        <f t="array" ref="L424">_xlfn.IFS(C424&lt;18,"under 18",C424&lt;36,"btw 18 &amp; 35",C424&lt;51,"btw 36 &amp;50",C424&lt;66,"btw 51 &amp; 66",C424&gt;66,"66 &amp; above")</f>
        <v>66 &amp; above</v>
      </c>
      <c r="M424">
        <f t="shared" si="7"/>
        <v>5</v>
      </c>
    </row>
    <row r="425" spans="1:13" x14ac:dyDescent="0.25">
      <c r="A425" t="s">
        <v>839</v>
      </c>
      <c r="B425" t="s">
        <v>840</v>
      </c>
      <c r="C425">
        <v>52</v>
      </c>
      <c r="D425" t="s">
        <v>13</v>
      </c>
      <c r="E425" s="2">
        <v>45966</v>
      </c>
      <c r="F425" s="2">
        <v>45967</v>
      </c>
      <c r="G425" t="s">
        <v>24</v>
      </c>
      <c r="H425" t="s">
        <v>334</v>
      </c>
      <c r="I425" s="3">
        <v>1744.21</v>
      </c>
      <c r="J425" s="4">
        <v>80</v>
      </c>
      <c r="K425" t="s">
        <v>21</v>
      </c>
      <c r="L425" t="str" cm="1">
        <f t="array" ref="L425">_xlfn.IFS(C425&lt;18,"under 18",C425&lt;36,"btw 18 &amp; 35",C425&lt;51,"btw 36 &amp;50",C425&lt;66,"btw 51 &amp; 66",C425&gt;66,"66 &amp; above")</f>
        <v>btw 51 &amp; 66</v>
      </c>
      <c r="M425">
        <f t="shared" si="7"/>
        <v>1</v>
      </c>
    </row>
    <row r="426" spans="1:13" x14ac:dyDescent="0.25">
      <c r="A426" t="s">
        <v>841</v>
      </c>
      <c r="B426" t="s">
        <v>842</v>
      </c>
      <c r="C426">
        <v>28</v>
      </c>
      <c r="D426" t="s">
        <v>19</v>
      </c>
      <c r="E426" s="2">
        <v>45307</v>
      </c>
      <c r="F426" s="2">
        <v>45320</v>
      </c>
      <c r="G426" t="s">
        <v>61</v>
      </c>
      <c r="H426" t="s">
        <v>143</v>
      </c>
      <c r="I426" s="3">
        <v>23326.29</v>
      </c>
      <c r="J426" s="4">
        <v>60</v>
      </c>
      <c r="K426" t="s">
        <v>16</v>
      </c>
      <c r="L426" t="str" cm="1">
        <f t="array" ref="L426">_xlfn.IFS(C426&lt;18,"under 18",C426&lt;36,"btw 18 &amp; 35",C426&lt;51,"btw 36 &amp;50",C426&lt;66,"btw 51 &amp; 66",C426&gt;66,"66 &amp; above")</f>
        <v>btw 18 &amp; 35</v>
      </c>
      <c r="M426">
        <f t="shared" si="7"/>
        <v>13</v>
      </c>
    </row>
    <row r="427" spans="1:13" x14ac:dyDescent="0.25">
      <c r="A427" t="s">
        <v>843</v>
      </c>
      <c r="B427" t="s">
        <v>844</v>
      </c>
      <c r="C427">
        <v>51</v>
      </c>
      <c r="D427" t="s">
        <v>19</v>
      </c>
      <c r="E427" s="2">
        <v>45925</v>
      </c>
      <c r="F427" s="2">
        <v>45932</v>
      </c>
      <c r="G427" t="s">
        <v>32</v>
      </c>
      <c r="H427" t="s">
        <v>36</v>
      </c>
      <c r="I427" s="3">
        <v>5587.17</v>
      </c>
      <c r="J427" s="4">
        <v>70</v>
      </c>
      <c r="K427" t="s">
        <v>21</v>
      </c>
      <c r="L427" t="str" cm="1">
        <f t="array" ref="L427">_xlfn.IFS(C427&lt;18,"under 18",C427&lt;36,"btw 18 &amp; 35",C427&lt;51,"btw 36 &amp;50",C427&lt;66,"btw 51 &amp; 66",C427&gt;66,"66 &amp; above")</f>
        <v>btw 51 &amp; 66</v>
      </c>
      <c r="M427">
        <f t="shared" si="7"/>
        <v>7</v>
      </c>
    </row>
    <row r="428" spans="1:13" x14ac:dyDescent="0.25">
      <c r="A428" t="s">
        <v>845</v>
      </c>
      <c r="B428" t="s">
        <v>479</v>
      </c>
      <c r="C428">
        <v>46</v>
      </c>
      <c r="D428" t="s">
        <v>19</v>
      </c>
      <c r="E428" s="2">
        <v>45796</v>
      </c>
      <c r="F428" s="2">
        <v>45809</v>
      </c>
      <c r="G428" t="s">
        <v>61</v>
      </c>
      <c r="H428" t="s">
        <v>134</v>
      </c>
      <c r="I428" s="3">
        <v>19329.240000000002</v>
      </c>
      <c r="J428" s="4">
        <v>80</v>
      </c>
      <c r="K428" t="s">
        <v>16</v>
      </c>
      <c r="L428" t="str" cm="1">
        <f t="array" ref="L428">_xlfn.IFS(C428&lt;18,"under 18",C428&lt;36,"btw 18 &amp; 35",C428&lt;51,"btw 36 &amp;50",C428&lt;66,"btw 51 &amp; 66",C428&gt;66,"66 &amp; above")</f>
        <v>btw 36 &amp;50</v>
      </c>
      <c r="M428">
        <f t="shared" si="7"/>
        <v>13</v>
      </c>
    </row>
    <row r="429" spans="1:13" x14ac:dyDescent="0.25">
      <c r="A429" t="s">
        <v>846</v>
      </c>
      <c r="B429" t="s">
        <v>847</v>
      </c>
      <c r="C429">
        <v>46</v>
      </c>
      <c r="D429" t="s">
        <v>13</v>
      </c>
      <c r="E429" s="2">
        <v>45702</v>
      </c>
      <c r="F429" s="2">
        <v>45710</v>
      </c>
      <c r="G429" t="s">
        <v>14</v>
      </c>
      <c r="H429" t="s">
        <v>15</v>
      </c>
      <c r="I429" s="3">
        <v>20311.28</v>
      </c>
      <c r="J429" s="4">
        <v>0</v>
      </c>
      <c r="K429" t="s">
        <v>21</v>
      </c>
      <c r="L429" t="str" cm="1">
        <f t="array" ref="L429">_xlfn.IFS(C429&lt;18,"under 18",C429&lt;36,"btw 18 &amp; 35",C429&lt;51,"btw 36 &amp;50",C429&lt;66,"btw 51 &amp; 66",C429&gt;66,"66 &amp; above")</f>
        <v>btw 36 &amp;50</v>
      </c>
      <c r="M429">
        <f t="shared" si="7"/>
        <v>8</v>
      </c>
    </row>
    <row r="430" spans="1:13" x14ac:dyDescent="0.25">
      <c r="A430" t="s">
        <v>848</v>
      </c>
      <c r="B430" t="s">
        <v>849</v>
      </c>
      <c r="C430">
        <v>73</v>
      </c>
      <c r="D430" t="s">
        <v>19</v>
      </c>
      <c r="E430" s="2">
        <v>45933</v>
      </c>
      <c r="F430" s="2">
        <v>45936</v>
      </c>
      <c r="G430" t="s">
        <v>24</v>
      </c>
      <c r="H430" t="s">
        <v>25</v>
      </c>
      <c r="I430" s="3">
        <v>2647.99</v>
      </c>
      <c r="J430" s="4">
        <v>80</v>
      </c>
      <c r="K430" t="s">
        <v>21</v>
      </c>
      <c r="L430" t="str" cm="1">
        <f t="array" ref="L430">_xlfn.IFS(C430&lt;18,"under 18",C430&lt;36,"btw 18 &amp; 35",C430&lt;51,"btw 36 &amp;50",C430&lt;66,"btw 51 &amp; 66",C430&gt;66,"66 &amp; above")</f>
        <v>66 &amp; above</v>
      </c>
      <c r="M430">
        <f t="shared" si="7"/>
        <v>3</v>
      </c>
    </row>
    <row r="431" spans="1:13" x14ac:dyDescent="0.25">
      <c r="A431" t="s">
        <v>850</v>
      </c>
      <c r="B431" t="s">
        <v>851</v>
      </c>
      <c r="C431">
        <v>14</v>
      </c>
      <c r="D431" t="s">
        <v>19</v>
      </c>
      <c r="E431" s="2">
        <v>46005</v>
      </c>
      <c r="F431" s="2">
        <v>46007</v>
      </c>
      <c r="G431" t="s">
        <v>50</v>
      </c>
      <c r="H431" t="s">
        <v>121</v>
      </c>
      <c r="I431" s="3">
        <v>3396.48</v>
      </c>
      <c r="J431" s="4">
        <v>90</v>
      </c>
      <c r="K431" t="s">
        <v>16</v>
      </c>
      <c r="L431" t="str" cm="1">
        <f t="array" ref="L431">_xlfn.IFS(C431&lt;18,"under 18",C431&lt;36,"btw 18 &amp; 35",C431&lt;51,"btw 36 &amp;50",C431&lt;66,"btw 51 &amp; 66",C431&gt;66,"66 &amp; above")</f>
        <v>under 18</v>
      </c>
      <c r="M431">
        <f t="shared" si="7"/>
        <v>2</v>
      </c>
    </row>
    <row r="432" spans="1:13" x14ac:dyDescent="0.25">
      <c r="A432" t="s">
        <v>852</v>
      </c>
      <c r="B432" t="s">
        <v>853</v>
      </c>
      <c r="C432">
        <v>82</v>
      </c>
      <c r="D432" t="s">
        <v>13</v>
      </c>
      <c r="E432" s="2">
        <v>45341</v>
      </c>
      <c r="F432" s="2">
        <v>45348</v>
      </c>
      <c r="G432" t="s">
        <v>32</v>
      </c>
      <c r="H432" t="s">
        <v>88</v>
      </c>
      <c r="I432" s="3">
        <v>9947.52</v>
      </c>
      <c r="J432" s="4">
        <v>60</v>
      </c>
      <c r="K432" t="s">
        <v>21</v>
      </c>
      <c r="L432" t="str" cm="1">
        <f t="array" ref="L432">_xlfn.IFS(C432&lt;18,"under 18",C432&lt;36,"btw 18 &amp; 35",C432&lt;51,"btw 36 &amp;50",C432&lt;66,"btw 51 &amp; 66",C432&gt;66,"66 &amp; above")</f>
        <v>66 &amp; above</v>
      </c>
      <c r="M432">
        <f t="shared" si="7"/>
        <v>7</v>
      </c>
    </row>
    <row r="433" spans="1:13" x14ac:dyDescent="0.25">
      <c r="A433" t="s">
        <v>854</v>
      </c>
      <c r="B433" t="s">
        <v>855</v>
      </c>
      <c r="C433">
        <v>11</v>
      </c>
      <c r="D433" t="s">
        <v>19</v>
      </c>
      <c r="E433" s="2">
        <v>45458</v>
      </c>
      <c r="F433" s="2">
        <v>45460</v>
      </c>
      <c r="G433" t="s">
        <v>50</v>
      </c>
      <c r="H433" t="s">
        <v>124</v>
      </c>
      <c r="I433" s="3">
        <v>2103.42</v>
      </c>
      <c r="J433" s="4">
        <v>60</v>
      </c>
      <c r="K433" t="s">
        <v>21</v>
      </c>
      <c r="L433" t="str" cm="1">
        <f t="array" ref="L433">_xlfn.IFS(C433&lt;18,"under 18",C433&lt;36,"btw 18 &amp; 35",C433&lt;51,"btw 36 &amp;50",C433&lt;66,"btw 51 &amp; 66",C433&gt;66,"66 &amp; above")</f>
        <v>under 18</v>
      </c>
      <c r="M433">
        <f t="shared" si="7"/>
        <v>2</v>
      </c>
    </row>
    <row r="434" spans="1:13" x14ac:dyDescent="0.25">
      <c r="A434" t="s">
        <v>856</v>
      </c>
      <c r="B434" t="s">
        <v>857</v>
      </c>
      <c r="C434">
        <v>41</v>
      </c>
      <c r="D434" t="s">
        <v>19</v>
      </c>
      <c r="E434" s="2">
        <v>45476</v>
      </c>
      <c r="F434" s="2">
        <v>45486</v>
      </c>
      <c r="G434" t="s">
        <v>61</v>
      </c>
      <c r="H434" t="s">
        <v>98</v>
      </c>
      <c r="I434" s="3">
        <v>20914.48</v>
      </c>
      <c r="J434" s="4">
        <v>50</v>
      </c>
      <c r="K434" t="s">
        <v>21</v>
      </c>
      <c r="L434" t="str" cm="1">
        <f t="array" ref="L434">_xlfn.IFS(C434&lt;18,"under 18",C434&lt;36,"btw 18 &amp; 35",C434&lt;51,"btw 36 &amp;50",C434&lt;66,"btw 51 &amp; 66",C434&gt;66,"66 &amp; above")</f>
        <v>btw 36 &amp;50</v>
      </c>
      <c r="M434">
        <f t="shared" si="7"/>
        <v>10</v>
      </c>
    </row>
    <row r="435" spans="1:13" x14ac:dyDescent="0.25">
      <c r="A435" t="s">
        <v>858</v>
      </c>
      <c r="B435" t="s">
        <v>859</v>
      </c>
      <c r="C435">
        <v>57</v>
      </c>
      <c r="D435" t="s">
        <v>13</v>
      </c>
      <c r="E435" s="2">
        <v>45510</v>
      </c>
      <c r="F435" s="2">
        <v>45521</v>
      </c>
      <c r="G435" t="s">
        <v>61</v>
      </c>
      <c r="H435" t="s">
        <v>98</v>
      </c>
      <c r="I435" s="3">
        <v>16613.29</v>
      </c>
      <c r="J435" s="4">
        <v>60</v>
      </c>
      <c r="K435" t="s">
        <v>26</v>
      </c>
      <c r="L435" t="str" cm="1">
        <f t="array" ref="L435">_xlfn.IFS(C435&lt;18,"under 18",C435&lt;36,"btw 18 &amp; 35",C435&lt;51,"btw 36 &amp;50",C435&lt;66,"btw 51 &amp; 66",C435&gt;66,"66 &amp; above")</f>
        <v>btw 51 &amp; 66</v>
      </c>
      <c r="M435">
        <f t="shared" si="7"/>
        <v>11</v>
      </c>
    </row>
    <row r="436" spans="1:13" x14ac:dyDescent="0.25">
      <c r="A436" t="s">
        <v>860</v>
      </c>
      <c r="B436" t="s">
        <v>503</v>
      </c>
      <c r="C436">
        <v>62</v>
      </c>
      <c r="D436" t="s">
        <v>19</v>
      </c>
      <c r="E436" s="2">
        <v>45631</v>
      </c>
      <c r="F436" s="2">
        <v>45644</v>
      </c>
      <c r="G436" t="s">
        <v>61</v>
      </c>
      <c r="H436" t="s">
        <v>134</v>
      </c>
      <c r="I436" s="3">
        <v>23037.14</v>
      </c>
      <c r="J436" s="4">
        <v>70</v>
      </c>
      <c r="K436" t="s">
        <v>16</v>
      </c>
      <c r="L436" t="str" cm="1">
        <f t="array" ref="L436">_xlfn.IFS(C436&lt;18,"under 18",C436&lt;36,"btw 18 &amp; 35",C436&lt;51,"btw 36 &amp;50",C436&lt;66,"btw 51 &amp; 66",C436&gt;66,"66 &amp; above")</f>
        <v>btw 51 &amp; 66</v>
      </c>
      <c r="M436">
        <f t="shared" si="7"/>
        <v>13</v>
      </c>
    </row>
    <row r="437" spans="1:13" x14ac:dyDescent="0.25">
      <c r="A437" t="s">
        <v>861</v>
      </c>
      <c r="B437" t="s">
        <v>862</v>
      </c>
      <c r="C437">
        <v>23</v>
      </c>
      <c r="D437" t="s">
        <v>13</v>
      </c>
      <c r="E437" s="2">
        <v>45653</v>
      </c>
      <c r="F437" s="2">
        <v>45654</v>
      </c>
      <c r="G437" t="s">
        <v>32</v>
      </c>
      <c r="H437" t="s">
        <v>115</v>
      </c>
      <c r="I437" s="3">
        <v>618.74</v>
      </c>
      <c r="J437" s="4">
        <v>80</v>
      </c>
      <c r="K437" t="s">
        <v>16</v>
      </c>
      <c r="L437" t="str" cm="1">
        <f t="array" ref="L437">_xlfn.IFS(C437&lt;18,"under 18",C437&lt;36,"btw 18 &amp; 35",C437&lt;51,"btw 36 &amp;50",C437&lt;66,"btw 51 &amp; 66",C437&gt;66,"66 &amp; above")</f>
        <v>btw 18 &amp; 35</v>
      </c>
      <c r="M437">
        <f t="shared" si="7"/>
        <v>1</v>
      </c>
    </row>
    <row r="438" spans="1:13" x14ac:dyDescent="0.25">
      <c r="A438" t="s">
        <v>863</v>
      </c>
      <c r="B438" t="s">
        <v>864</v>
      </c>
      <c r="C438">
        <v>42</v>
      </c>
      <c r="D438" t="s">
        <v>13</v>
      </c>
      <c r="E438" s="2">
        <v>45952</v>
      </c>
      <c r="F438" s="2">
        <v>45955</v>
      </c>
      <c r="G438" t="s">
        <v>32</v>
      </c>
      <c r="H438" t="s">
        <v>36</v>
      </c>
      <c r="I438" s="3">
        <v>3292.07</v>
      </c>
      <c r="J438" s="4">
        <v>50</v>
      </c>
      <c r="K438" t="s">
        <v>16</v>
      </c>
      <c r="L438" t="str" cm="1">
        <f t="array" ref="L438">_xlfn.IFS(C438&lt;18,"under 18",C438&lt;36,"btw 18 &amp; 35",C438&lt;51,"btw 36 &amp;50",C438&lt;66,"btw 51 &amp; 66",C438&gt;66,"66 &amp; above")</f>
        <v>btw 36 &amp;50</v>
      </c>
      <c r="M438">
        <f t="shared" si="7"/>
        <v>3</v>
      </c>
    </row>
    <row r="439" spans="1:13" x14ac:dyDescent="0.25">
      <c r="A439" t="s">
        <v>865</v>
      </c>
      <c r="B439" t="s">
        <v>631</v>
      </c>
      <c r="C439">
        <v>48</v>
      </c>
      <c r="D439" t="s">
        <v>13</v>
      </c>
      <c r="E439" s="2">
        <v>45292</v>
      </c>
      <c r="F439" s="2">
        <v>45296</v>
      </c>
      <c r="G439" t="s">
        <v>32</v>
      </c>
      <c r="H439" t="s">
        <v>45</v>
      </c>
      <c r="I439" s="3">
        <v>5249.64</v>
      </c>
      <c r="J439" s="4">
        <v>90</v>
      </c>
      <c r="K439" t="s">
        <v>16</v>
      </c>
      <c r="L439" t="str" cm="1">
        <f t="array" ref="L439">_xlfn.IFS(C439&lt;18,"under 18",C439&lt;36,"btw 18 &amp; 35",C439&lt;51,"btw 36 &amp;50",C439&lt;66,"btw 51 &amp; 66",C439&gt;66,"66 &amp; above")</f>
        <v>btw 36 &amp;50</v>
      </c>
      <c r="M439">
        <f t="shared" si="7"/>
        <v>4</v>
      </c>
    </row>
    <row r="440" spans="1:13" x14ac:dyDescent="0.25">
      <c r="A440" t="s">
        <v>866</v>
      </c>
      <c r="B440" t="s">
        <v>867</v>
      </c>
      <c r="C440">
        <v>71</v>
      </c>
      <c r="D440" t="s">
        <v>13</v>
      </c>
      <c r="E440" s="2">
        <v>45885</v>
      </c>
      <c r="F440" s="2">
        <v>45890</v>
      </c>
      <c r="G440" t="s">
        <v>61</v>
      </c>
      <c r="H440" t="s">
        <v>78</v>
      </c>
      <c r="I440" s="3">
        <v>5726.98</v>
      </c>
      <c r="J440" s="4">
        <v>80</v>
      </c>
      <c r="K440" t="s">
        <v>16</v>
      </c>
      <c r="L440" t="str" cm="1">
        <f t="array" ref="L440">_xlfn.IFS(C440&lt;18,"under 18",C440&lt;36,"btw 18 &amp; 35",C440&lt;51,"btw 36 &amp;50",C440&lt;66,"btw 51 &amp; 66",C440&gt;66,"66 &amp; above")</f>
        <v>66 &amp; above</v>
      </c>
      <c r="M440">
        <f t="shared" si="7"/>
        <v>5</v>
      </c>
    </row>
    <row r="441" spans="1:13" x14ac:dyDescent="0.25">
      <c r="A441" t="s">
        <v>868</v>
      </c>
      <c r="B441" t="s">
        <v>869</v>
      </c>
      <c r="C441">
        <v>16</v>
      </c>
      <c r="D441" t="s">
        <v>13</v>
      </c>
      <c r="E441" s="2">
        <v>45424</v>
      </c>
      <c r="F441" s="2">
        <v>45426</v>
      </c>
      <c r="G441" t="s">
        <v>50</v>
      </c>
      <c r="H441" t="s">
        <v>118</v>
      </c>
      <c r="I441" s="3">
        <v>3417.93</v>
      </c>
      <c r="J441" s="4">
        <v>100</v>
      </c>
      <c r="K441" t="s">
        <v>16</v>
      </c>
      <c r="L441" t="str" cm="1">
        <f t="array" ref="L441">_xlfn.IFS(C441&lt;18,"under 18",C441&lt;36,"btw 18 &amp; 35",C441&lt;51,"btw 36 &amp;50",C441&lt;66,"btw 51 &amp; 66",C441&gt;66,"66 &amp; above")</f>
        <v>under 18</v>
      </c>
      <c r="M441">
        <f t="shared" si="7"/>
        <v>2</v>
      </c>
    </row>
    <row r="442" spans="1:13" x14ac:dyDescent="0.25">
      <c r="A442" t="s">
        <v>870</v>
      </c>
      <c r="B442" t="s">
        <v>871</v>
      </c>
      <c r="C442">
        <v>73</v>
      </c>
      <c r="D442" t="s">
        <v>19</v>
      </c>
      <c r="E442" s="2">
        <v>45542</v>
      </c>
      <c r="F442" s="2">
        <v>45549</v>
      </c>
      <c r="G442" t="s">
        <v>32</v>
      </c>
      <c r="H442" t="s">
        <v>33</v>
      </c>
      <c r="I442" s="3">
        <v>4075.7</v>
      </c>
      <c r="J442" s="4">
        <v>100</v>
      </c>
      <c r="K442" t="s">
        <v>16</v>
      </c>
      <c r="L442" t="str" cm="1">
        <f t="array" ref="L442">_xlfn.IFS(C442&lt;18,"under 18",C442&lt;36,"btw 18 &amp; 35",C442&lt;51,"btw 36 &amp;50",C442&lt;66,"btw 51 &amp; 66",C442&gt;66,"66 &amp; above")</f>
        <v>66 &amp; above</v>
      </c>
      <c r="M442">
        <f t="shared" si="7"/>
        <v>7</v>
      </c>
    </row>
    <row r="443" spans="1:13" x14ac:dyDescent="0.25">
      <c r="A443" t="s">
        <v>872</v>
      </c>
      <c r="B443" t="s">
        <v>873</v>
      </c>
      <c r="C443">
        <v>17</v>
      </c>
      <c r="D443" t="s">
        <v>13</v>
      </c>
      <c r="E443" s="2">
        <v>45707</v>
      </c>
      <c r="F443" s="2">
        <v>45709</v>
      </c>
      <c r="G443" t="s">
        <v>50</v>
      </c>
      <c r="H443" t="s">
        <v>118</v>
      </c>
      <c r="I443" s="3">
        <v>1245.26</v>
      </c>
      <c r="J443" s="4">
        <v>100</v>
      </c>
      <c r="K443" t="s">
        <v>16</v>
      </c>
      <c r="L443" t="str" cm="1">
        <f t="array" ref="L443">_xlfn.IFS(C443&lt;18,"under 18",C443&lt;36,"btw 18 &amp; 35",C443&lt;51,"btw 36 &amp;50",C443&lt;66,"btw 51 &amp; 66",C443&gt;66,"66 &amp; above")</f>
        <v>under 18</v>
      </c>
      <c r="M443">
        <f t="shared" si="7"/>
        <v>2</v>
      </c>
    </row>
    <row r="444" spans="1:13" x14ac:dyDescent="0.25">
      <c r="A444" t="s">
        <v>874</v>
      </c>
      <c r="B444" t="s">
        <v>875</v>
      </c>
      <c r="C444">
        <v>49</v>
      </c>
      <c r="D444" t="s">
        <v>13</v>
      </c>
      <c r="E444" s="2">
        <v>45904</v>
      </c>
      <c r="F444" s="2">
        <v>45905</v>
      </c>
      <c r="G444" t="s">
        <v>32</v>
      </c>
      <c r="H444" t="s">
        <v>88</v>
      </c>
      <c r="I444" s="3">
        <v>1338.57</v>
      </c>
      <c r="J444" s="4">
        <v>100</v>
      </c>
      <c r="K444" t="s">
        <v>21</v>
      </c>
      <c r="L444" t="str" cm="1">
        <f t="array" ref="L444">_xlfn.IFS(C444&lt;18,"under 18",C444&lt;36,"btw 18 &amp; 35",C444&lt;51,"btw 36 &amp;50",C444&lt;66,"btw 51 &amp; 66",C444&gt;66,"66 &amp; above")</f>
        <v>btw 36 &amp;50</v>
      </c>
      <c r="M444">
        <f t="shared" si="7"/>
        <v>1</v>
      </c>
    </row>
    <row r="445" spans="1:13" x14ac:dyDescent="0.25">
      <c r="A445" t="s">
        <v>876</v>
      </c>
      <c r="B445" t="s">
        <v>623</v>
      </c>
      <c r="C445">
        <v>41</v>
      </c>
      <c r="D445" t="s">
        <v>19</v>
      </c>
      <c r="E445" s="2">
        <v>45761</v>
      </c>
      <c r="F445" s="2">
        <v>45768</v>
      </c>
      <c r="G445" t="s">
        <v>71</v>
      </c>
      <c r="H445" t="s">
        <v>296</v>
      </c>
      <c r="I445" s="3">
        <v>11778.46</v>
      </c>
      <c r="J445" s="4">
        <v>60</v>
      </c>
      <c r="K445" t="s">
        <v>26</v>
      </c>
      <c r="L445" t="str" cm="1">
        <f t="array" ref="L445">_xlfn.IFS(C445&lt;18,"under 18",C445&lt;36,"btw 18 &amp; 35",C445&lt;51,"btw 36 &amp;50",C445&lt;66,"btw 51 &amp; 66",C445&gt;66,"66 &amp; above")</f>
        <v>btw 36 &amp;50</v>
      </c>
      <c r="M445">
        <f t="shared" si="7"/>
        <v>7</v>
      </c>
    </row>
    <row r="446" spans="1:13" x14ac:dyDescent="0.25">
      <c r="A446" t="s">
        <v>877</v>
      </c>
      <c r="B446" t="s">
        <v>878</v>
      </c>
      <c r="C446">
        <v>65</v>
      </c>
      <c r="D446" t="s">
        <v>13</v>
      </c>
      <c r="E446" s="2">
        <v>45675</v>
      </c>
      <c r="F446" s="2">
        <v>45678</v>
      </c>
      <c r="G446" t="s">
        <v>14</v>
      </c>
      <c r="H446" t="s">
        <v>166</v>
      </c>
      <c r="I446" s="3">
        <v>6875.63</v>
      </c>
      <c r="J446" s="4">
        <v>70</v>
      </c>
      <c r="K446" t="s">
        <v>21</v>
      </c>
      <c r="L446" t="str" cm="1">
        <f t="array" ref="L446">_xlfn.IFS(C446&lt;18,"under 18",C446&lt;36,"btw 18 &amp; 35",C446&lt;51,"btw 36 &amp;50",C446&lt;66,"btw 51 &amp; 66",C446&gt;66,"66 &amp; above")</f>
        <v>btw 51 &amp; 66</v>
      </c>
      <c r="M446">
        <f t="shared" si="7"/>
        <v>3</v>
      </c>
    </row>
    <row r="447" spans="1:13" x14ac:dyDescent="0.25">
      <c r="A447" t="s">
        <v>879</v>
      </c>
      <c r="B447" t="s">
        <v>880</v>
      </c>
      <c r="C447">
        <v>36</v>
      </c>
      <c r="D447" t="s">
        <v>13</v>
      </c>
      <c r="E447" s="2">
        <v>45833</v>
      </c>
      <c r="F447" s="2">
        <v>45838</v>
      </c>
      <c r="G447" t="s">
        <v>32</v>
      </c>
      <c r="H447" t="s">
        <v>88</v>
      </c>
      <c r="I447" s="3">
        <v>4520</v>
      </c>
      <c r="J447" s="4">
        <v>90</v>
      </c>
      <c r="K447" t="s">
        <v>16</v>
      </c>
      <c r="L447" t="str" cm="1">
        <f t="array" ref="L447">_xlfn.IFS(C447&lt;18,"under 18",C447&lt;36,"btw 18 &amp; 35",C447&lt;51,"btw 36 &amp;50",C447&lt;66,"btw 51 &amp; 66",C447&gt;66,"66 &amp; above")</f>
        <v>btw 36 &amp;50</v>
      </c>
      <c r="M447">
        <f t="shared" si="7"/>
        <v>5</v>
      </c>
    </row>
    <row r="448" spans="1:13" x14ac:dyDescent="0.25">
      <c r="A448" t="s">
        <v>881</v>
      </c>
      <c r="B448" t="s">
        <v>882</v>
      </c>
      <c r="C448">
        <v>47</v>
      </c>
      <c r="D448" t="s">
        <v>13</v>
      </c>
      <c r="E448" s="2">
        <v>45296</v>
      </c>
      <c r="F448" s="2">
        <v>45307</v>
      </c>
      <c r="G448" t="s">
        <v>61</v>
      </c>
      <c r="H448" t="s">
        <v>75</v>
      </c>
      <c r="I448" s="3">
        <v>11719.07</v>
      </c>
      <c r="J448" s="4">
        <v>80</v>
      </c>
      <c r="K448" t="s">
        <v>16</v>
      </c>
      <c r="L448" t="str" cm="1">
        <f t="array" ref="L448">_xlfn.IFS(C448&lt;18,"under 18",C448&lt;36,"btw 18 &amp; 35",C448&lt;51,"btw 36 &amp;50",C448&lt;66,"btw 51 &amp; 66",C448&gt;66,"66 &amp; above")</f>
        <v>btw 36 &amp;50</v>
      </c>
      <c r="M448">
        <f t="shared" si="7"/>
        <v>11</v>
      </c>
    </row>
    <row r="449" spans="1:13" x14ac:dyDescent="0.25">
      <c r="A449" t="s">
        <v>883</v>
      </c>
      <c r="B449" t="s">
        <v>884</v>
      </c>
      <c r="C449">
        <v>74</v>
      </c>
      <c r="D449" t="s">
        <v>19</v>
      </c>
      <c r="E449" s="2">
        <v>45846</v>
      </c>
      <c r="F449" s="2">
        <v>45857</v>
      </c>
      <c r="G449" t="s">
        <v>71</v>
      </c>
      <c r="H449" t="s">
        <v>238</v>
      </c>
      <c r="I449" s="3">
        <v>13712.17</v>
      </c>
      <c r="J449" s="4">
        <v>80</v>
      </c>
      <c r="K449" t="s">
        <v>16</v>
      </c>
      <c r="L449" t="str" cm="1">
        <f t="array" ref="L449">_xlfn.IFS(C449&lt;18,"under 18",C449&lt;36,"btw 18 &amp; 35",C449&lt;51,"btw 36 &amp;50",C449&lt;66,"btw 51 &amp; 66",C449&gt;66,"66 &amp; above")</f>
        <v>66 &amp; above</v>
      </c>
      <c r="M449">
        <f t="shared" si="7"/>
        <v>11</v>
      </c>
    </row>
    <row r="450" spans="1:13" x14ac:dyDescent="0.25">
      <c r="A450" t="s">
        <v>885</v>
      </c>
      <c r="B450" t="s">
        <v>291</v>
      </c>
      <c r="C450">
        <v>73</v>
      </c>
      <c r="D450" t="s">
        <v>13</v>
      </c>
      <c r="E450" s="2">
        <v>45540</v>
      </c>
      <c r="F450" s="2">
        <v>45541</v>
      </c>
      <c r="G450" t="s">
        <v>24</v>
      </c>
      <c r="H450" t="s">
        <v>205</v>
      </c>
      <c r="I450" s="3">
        <v>2492.86</v>
      </c>
      <c r="J450" s="4">
        <v>100</v>
      </c>
      <c r="K450" t="s">
        <v>16</v>
      </c>
      <c r="L450" t="str" cm="1">
        <f t="array" ref="L450">_xlfn.IFS(C450&lt;18,"under 18",C450&lt;36,"btw 18 &amp; 35",C450&lt;51,"btw 36 &amp;50",C450&lt;66,"btw 51 &amp; 66",C450&gt;66,"66 &amp; above")</f>
        <v>66 &amp; above</v>
      </c>
      <c r="M450">
        <f t="shared" si="7"/>
        <v>1</v>
      </c>
    </row>
    <row r="451" spans="1:13" x14ac:dyDescent="0.25">
      <c r="A451" t="s">
        <v>886</v>
      </c>
      <c r="B451" t="s">
        <v>234</v>
      </c>
      <c r="C451">
        <v>19</v>
      </c>
      <c r="D451" t="s">
        <v>13</v>
      </c>
      <c r="E451" s="2">
        <v>45832</v>
      </c>
      <c r="F451" s="2">
        <v>45833</v>
      </c>
      <c r="G451" t="s">
        <v>24</v>
      </c>
      <c r="H451" t="s">
        <v>29</v>
      </c>
      <c r="I451" s="3">
        <v>1867.11</v>
      </c>
      <c r="J451" s="4">
        <v>80</v>
      </c>
      <c r="K451" t="s">
        <v>16</v>
      </c>
      <c r="L451" t="str" cm="1">
        <f t="array" ref="L451">_xlfn.IFS(C451&lt;18,"under 18",C451&lt;36,"btw 18 &amp; 35",C451&lt;51,"btw 36 &amp;50",C451&lt;66,"btw 51 &amp; 66",C451&gt;66,"66 &amp; above")</f>
        <v>btw 18 &amp; 35</v>
      </c>
      <c r="M451">
        <f t="shared" ref="M451:M514" si="8">AVERAGE(F451-E451)</f>
        <v>1</v>
      </c>
    </row>
    <row r="452" spans="1:13" x14ac:dyDescent="0.25">
      <c r="A452" t="s">
        <v>887</v>
      </c>
      <c r="B452" t="s">
        <v>593</v>
      </c>
      <c r="C452">
        <v>68</v>
      </c>
      <c r="D452" t="s">
        <v>13</v>
      </c>
      <c r="E452" s="2">
        <v>45482</v>
      </c>
      <c r="F452" s="2">
        <v>45489</v>
      </c>
      <c r="G452" t="s">
        <v>14</v>
      </c>
      <c r="H452" t="s">
        <v>15</v>
      </c>
      <c r="I452" s="3">
        <v>9821.73</v>
      </c>
      <c r="J452" s="4">
        <v>80</v>
      </c>
      <c r="K452" t="s">
        <v>16</v>
      </c>
      <c r="L452" t="str" cm="1">
        <f t="array" ref="L452">_xlfn.IFS(C452&lt;18,"under 18",C452&lt;36,"btw 18 &amp; 35",C452&lt;51,"btw 36 &amp;50",C452&lt;66,"btw 51 &amp; 66",C452&gt;66,"66 &amp; above")</f>
        <v>66 &amp; above</v>
      </c>
      <c r="M452">
        <f t="shared" si="8"/>
        <v>7</v>
      </c>
    </row>
    <row r="453" spans="1:13" x14ac:dyDescent="0.25">
      <c r="A453" t="s">
        <v>888</v>
      </c>
      <c r="B453" t="s">
        <v>889</v>
      </c>
      <c r="C453">
        <v>46</v>
      </c>
      <c r="D453" t="s">
        <v>19</v>
      </c>
      <c r="E453" s="2">
        <v>45382</v>
      </c>
      <c r="F453" s="2">
        <v>45389</v>
      </c>
      <c r="G453" t="s">
        <v>71</v>
      </c>
      <c r="H453" t="s">
        <v>72</v>
      </c>
      <c r="I453" s="3">
        <v>9183.36</v>
      </c>
      <c r="J453" s="4">
        <v>0</v>
      </c>
      <c r="K453" t="s">
        <v>21</v>
      </c>
      <c r="L453" t="str" cm="1">
        <f t="array" ref="L453">_xlfn.IFS(C453&lt;18,"under 18",C453&lt;36,"btw 18 &amp; 35",C453&lt;51,"btw 36 &amp;50",C453&lt;66,"btw 51 &amp; 66",C453&gt;66,"66 &amp; above")</f>
        <v>btw 36 &amp;50</v>
      </c>
      <c r="M453">
        <f t="shared" si="8"/>
        <v>7</v>
      </c>
    </row>
    <row r="454" spans="1:13" x14ac:dyDescent="0.25">
      <c r="A454" t="s">
        <v>890</v>
      </c>
      <c r="B454" t="s">
        <v>891</v>
      </c>
      <c r="C454">
        <v>59</v>
      </c>
      <c r="D454" t="s">
        <v>13</v>
      </c>
      <c r="E454" s="2">
        <v>45680</v>
      </c>
      <c r="F454" s="2">
        <v>45682</v>
      </c>
      <c r="G454" t="s">
        <v>32</v>
      </c>
      <c r="H454" t="s">
        <v>88</v>
      </c>
      <c r="I454" s="3">
        <v>1293.94</v>
      </c>
      <c r="J454" s="4">
        <v>100</v>
      </c>
      <c r="K454" t="s">
        <v>16</v>
      </c>
      <c r="L454" t="str" cm="1">
        <f t="array" ref="L454">_xlfn.IFS(C454&lt;18,"under 18",C454&lt;36,"btw 18 &amp; 35",C454&lt;51,"btw 36 &amp;50",C454&lt;66,"btw 51 &amp; 66",C454&gt;66,"66 &amp; above")</f>
        <v>btw 51 &amp; 66</v>
      </c>
      <c r="M454">
        <f t="shared" si="8"/>
        <v>2</v>
      </c>
    </row>
    <row r="455" spans="1:13" x14ac:dyDescent="0.25">
      <c r="A455" t="s">
        <v>892</v>
      </c>
      <c r="B455" t="s">
        <v>530</v>
      </c>
      <c r="C455">
        <v>48</v>
      </c>
      <c r="D455" t="s">
        <v>19</v>
      </c>
      <c r="E455" s="2">
        <v>45586</v>
      </c>
      <c r="F455" s="2">
        <v>45595</v>
      </c>
      <c r="G455" t="s">
        <v>14</v>
      </c>
      <c r="H455" t="s">
        <v>166</v>
      </c>
      <c r="I455" s="3">
        <v>23400.73</v>
      </c>
      <c r="J455" s="4">
        <v>100</v>
      </c>
      <c r="K455" t="s">
        <v>16</v>
      </c>
      <c r="L455" t="str" cm="1">
        <f t="array" ref="L455">_xlfn.IFS(C455&lt;18,"under 18",C455&lt;36,"btw 18 &amp; 35",C455&lt;51,"btw 36 &amp;50",C455&lt;66,"btw 51 &amp; 66",C455&gt;66,"66 &amp; above")</f>
        <v>btw 36 &amp;50</v>
      </c>
      <c r="M455">
        <f t="shared" si="8"/>
        <v>9</v>
      </c>
    </row>
    <row r="456" spans="1:13" x14ac:dyDescent="0.25">
      <c r="A456" t="s">
        <v>893</v>
      </c>
      <c r="B456" t="s">
        <v>894</v>
      </c>
      <c r="C456">
        <v>68</v>
      </c>
      <c r="D456" t="s">
        <v>19</v>
      </c>
      <c r="E456" s="2">
        <v>45966</v>
      </c>
      <c r="F456" s="2">
        <v>45971</v>
      </c>
      <c r="G456" t="s">
        <v>32</v>
      </c>
      <c r="H456" t="s">
        <v>33</v>
      </c>
      <c r="I456" s="3">
        <v>5575.83</v>
      </c>
      <c r="J456" s="4">
        <v>70</v>
      </c>
      <c r="K456" t="s">
        <v>16</v>
      </c>
      <c r="L456" t="str" cm="1">
        <f t="array" ref="L456">_xlfn.IFS(C456&lt;18,"under 18",C456&lt;36,"btw 18 &amp; 35",C456&lt;51,"btw 36 &amp;50",C456&lt;66,"btw 51 &amp; 66",C456&gt;66,"66 &amp; above")</f>
        <v>66 &amp; above</v>
      </c>
      <c r="M456">
        <f t="shared" si="8"/>
        <v>5</v>
      </c>
    </row>
    <row r="457" spans="1:13" x14ac:dyDescent="0.25">
      <c r="A457" t="s">
        <v>895</v>
      </c>
      <c r="B457" t="s">
        <v>896</v>
      </c>
      <c r="C457">
        <v>22</v>
      </c>
      <c r="D457" t="s">
        <v>19</v>
      </c>
      <c r="E457" s="2">
        <v>45398</v>
      </c>
      <c r="F457" s="2">
        <v>45399</v>
      </c>
      <c r="G457" t="s">
        <v>32</v>
      </c>
      <c r="H457" t="s">
        <v>36</v>
      </c>
      <c r="I457" s="3">
        <v>711.37</v>
      </c>
      <c r="J457" s="4">
        <v>90</v>
      </c>
      <c r="K457" t="s">
        <v>21</v>
      </c>
      <c r="L457" t="str" cm="1">
        <f t="array" ref="L457">_xlfn.IFS(C457&lt;18,"under 18",C457&lt;36,"btw 18 &amp; 35",C457&lt;51,"btw 36 &amp;50",C457&lt;66,"btw 51 &amp; 66",C457&gt;66,"66 &amp; above")</f>
        <v>btw 18 &amp; 35</v>
      </c>
      <c r="M457">
        <f t="shared" si="8"/>
        <v>1</v>
      </c>
    </row>
    <row r="458" spans="1:13" x14ac:dyDescent="0.25">
      <c r="A458" t="s">
        <v>897</v>
      </c>
      <c r="B458" t="s">
        <v>898</v>
      </c>
      <c r="C458">
        <v>55</v>
      </c>
      <c r="D458" t="s">
        <v>13</v>
      </c>
      <c r="E458" s="2">
        <v>46014</v>
      </c>
      <c r="F458" s="2">
        <v>46017</v>
      </c>
      <c r="G458" t="s">
        <v>24</v>
      </c>
      <c r="H458" t="s">
        <v>222</v>
      </c>
      <c r="I458" s="3">
        <v>3304.36</v>
      </c>
      <c r="J458" s="4">
        <v>60</v>
      </c>
      <c r="K458" t="s">
        <v>16</v>
      </c>
      <c r="L458" t="str" cm="1">
        <f t="array" ref="L458">_xlfn.IFS(C458&lt;18,"under 18",C458&lt;36,"btw 18 &amp; 35",C458&lt;51,"btw 36 &amp;50",C458&lt;66,"btw 51 &amp; 66",C458&gt;66,"66 &amp; above")</f>
        <v>btw 51 &amp; 66</v>
      </c>
      <c r="M458">
        <f t="shared" si="8"/>
        <v>3</v>
      </c>
    </row>
    <row r="459" spans="1:13" x14ac:dyDescent="0.25">
      <c r="A459" t="s">
        <v>899</v>
      </c>
      <c r="B459" t="s">
        <v>840</v>
      </c>
      <c r="C459">
        <v>48</v>
      </c>
      <c r="D459" t="s">
        <v>13</v>
      </c>
      <c r="E459" s="2">
        <v>45354</v>
      </c>
      <c r="F459" s="2">
        <v>45362</v>
      </c>
      <c r="G459" t="s">
        <v>71</v>
      </c>
      <c r="H459" t="s">
        <v>238</v>
      </c>
      <c r="I459" s="3">
        <v>18171.34</v>
      </c>
      <c r="J459" s="4">
        <v>70</v>
      </c>
      <c r="K459" t="s">
        <v>26</v>
      </c>
      <c r="L459" t="str" cm="1">
        <f t="array" ref="L459">_xlfn.IFS(C459&lt;18,"under 18",C459&lt;36,"btw 18 &amp; 35",C459&lt;51,"btw 36 &amp;50",C459&lt;66,"btw 51 &amp; 66",C459&gt;66,"66 &amp; above")</f>
        <v>btw 36 &amp;50</v>
      </c>
      <c r="M459">
        <f t="shared" si="8"/>
        <v>8</v>
      </c>
    </row>
    <row r="460" spans="1:13" x14ac:dyDescent="0.25">
      <c r="A460" t="s">
        <v>900</v>
      </c>
      <c r="B460" t="s">
        <v>409</v>
      </c>
      <c r="C460">
        <v>49</v>
      </c>
      <c r="D460" t="s">
        <v>19</v>
      </c>
      <c r="E460" s="2">
        <v>45470</v>
      </c>
      <c r="F460" s="2">
        <v>45482</v>
      </c>
      <c r="G460" t="s">
        <v>61</v>
      </c>
      <c r="H460" t="s">
        <v>143</v>
      </c>
      <c r="I460" s="3">
        <v>32666.57</v>
      </c>
      <c r="J460" s="4">
        <v>80</v>
      </c>
      <c r="K460" t="s">
        <v>26</v>
      </c>
      <c r="L460" t="str" cm="1">
        <f t="array" ref="L460">_xlfn.IFS(C460&lt;18,"under 18",C460&lt;36,"btw 18 &amp; 35",C460&lt;51,"btw 36 &amp;50",C460&lt;66,"btw 51 &amp; 66",C460&gt;66,"66 &amp; above")</f>
        <v>btw 36 &amp;50</v>
      </c>
      <c r="M460">
        <f t="shared" si="8"/>
        <v>12</v>
      </c>
    </row>
    <row r="461" spans="1:13" x14ac:dyDescent="0.25">
      <c r="A461" t="s">
        <v>901</v>
      </c>
      <c r="B461" t="s">
        <v>603</v>
      </c>
      <c r="C461">
        <v>57</v>
      </c>
      <c r="D461" t="s">
        <v>13</v>
      </c>
      <c r="E461" s="2">
        <v>45350</v>
      </c>
      <c r="F461" s="2">
        <v>45356</v>
      </c>
      <c r="G461" t="s">
        <v>32</v>
      </c>
      <c r="H461" t="s">
        <v>36</v>
      </c>
      <c r="I461" s="3">
        <v>8770.94</v>
      </c>
      <c r="J461" s="4">
        <v>80</v>
      </c>
      <c r="K461" t="s">
        <v>16</v>
      </c>
      <c r="L461" t="str" cm="1">
        <f t="array" ref="L461">_xlfn.IFS(C461&lt;18,"under 18",C461&lt;36,"btw 18 &amp; 35",C461&lt;51,"btw 36 &amp;50",C461&lt;66,"btw 51 &amp; 66",C461&gt;66,"66 &amp; above")</f>
        <v>btw 51 &amp; 66</v>
      </c>
      <c r="M461">
        <f t="shared" si="8"/>
        <v>6</v>
      </c>
    </row>
    <row r="462" spans="1:13" x14ac:dyDescent="0.25">
      <c r="A462" t="s">
        <v>902</v>
      </c>
      <c r="B462" t="s">
        <v>903</v>
      </c>
      <c r="C462">
        <v>37</v>
      </c>
      <c r="D462" t="s">
        <v>13</v>
      </c>
      <c r="E462" s="2">
        <v>45721</v>
      </c>
      <c r="F462" s="2">
        <v>45724</v>
      </c>
      <c r="G462" t="s">
        <v>71</v>
      </c>
      <c r="H462" t="s">
        <v>195</v>
      </c>
      <c r="I462" s="3">
        <v>5722.85</v>
      </c>
      <c r="J462" s="4">
        <v>70</v>
      </c>
      <c r="K462" t="s">
        <v>26</v>
      </c>
      <c r="L462" t="str" cm="1">
        <f t="array" ref="L462">_xlfn.IFS(C462&lt;18,"under 18",C462&lt;36,"btw 18 &amp; 35",C462&lt;51,"btw 36 &amp;50",C462&lt;66,"btw 51 &amp; 66",C462&gt;66,"66 &amp; above")</f>
        <v>btw 36 &amp;50</v>
      </c>
      <c r="M462">
        <f t="shared" si="8"/>
        <v>3</v>
      </c>
    </row>
    <row r="463" spans="1:13" x14ac:dyDescent="0.25">
      <c r="A463" t="s">
        <v>904</v>
      </c>
      <c r="B463" t="s">
        <v>905</v>
      </c>
      <c r="C463">
        <v>73</v>
      </c>
      <c r="D463" t="s">
        <v>19</v>
      </c>
      <c r="E463" s="2">
        <v>45599</v>
      </c>
      <c r="F463" s="2">
        <v>45600</v>
      </c>
      <c r="G463" t="s">
        <v>24</v>
      </c>
      <c r="H463" t="s">
        <v>334</v>
      </c>
      <c r="I463" s="3">
        <v>1228.01</v>
      </c>
      <c r="J463" s="4">
        <v>90</v>
      </c>
      <c r="K463" t="s">
        <v>16</v>
      </c>
      <c r="L463" t="str" cm="1">
        <f t="array" ref="L463">_xlfn.IFS(C463&lt;18,"under 18",C463&lt;36,"btw 18 &amp; 35",C463&lt;51,"btw 36 &amp;50",C463&lt;66,"btw 51 &amp; 66",C463&gt;66,"66 &amp; above")</f>
        <v>66 &amp; above</v>
      </c>
      <c r="M463">
        <f t="shared" si="8"/>
        <v>1</v>
      </c>
    </row>
    <row r="464" spans="1:13" x14ac:dyDescent="0.25">
      <c r="A464" t="s">
        <v>906</v>
      </c>
      <c r="B464" t="s">
        <v>907</v>
      </c>
      <c r="C464">
        <v>78</v>
      </c>
      <c r="D464" t="s">
        <v>19</v>
      </c>
      <c r="E464" s="2">
        <v>45606</v>
      </c>
      <c r="F464" s="2">
        <v>45613</v>
      </c>
      <c r="G464" t="s">
        <v>32</v>
      </c>
      <c r="H464" t="s">
        <v>45</v>
      </c>
      <c r="I464" s="3">
        <v>8155.8</v>
      </c>
      <c r="J464" s="4">
        <v>80</v>
      </c>
      <c r="K464" t="s">
        <v>16</v>
      </c>
      <c r="L464" t="str" cm="1">
        <f t="array" ref="L464">_xlfn.IFS(C464&lt;18,"under 18",C464&lt;36,"btw 18 &amp; 35",C464&lt;51,"btw 36 &amp;50",C464&lt;66,"btw 51 &amp; 66",C464&gt;66,"66 &amp; above")</f>
        <v>66 &amp; above</v>
      </c>
      <c r="M464">
        <f t="shared" si="8"/>
        <v>7</v>
      </c>
    </row>
    <row r="465" spans="1:13" x14ac:dyDescent="0.25">
      <c r="A465" t="s">
        <v>908</v>
      </c>
      <c r="B465" t="s">
        <v>909</v>
      </c>
      <c r="C465">
        <v>75</v>
      </c>
      <c r="D465" t="s">
        <v>19</v>
      </c>
      <c r="E465" s="2">
        <v>45431</v>
      </c>
      <c r="F465" s="2">
        <v>45442</v>
      </c>
      <c r="G465" t="s">
        <v>61</v>
      </c>
      <c r="H465" t="s">
        <v>143</v>
      </c>
      <c r="I465" s="3">
        <v>21834.98</v>
      </c>
      <c r="J465" s="4">
        <v>80</v>
      </c>
      <c r="K465" t="s">
        <v>16</v>
      </c>
      <c r="L465" t="str" cm="1">
        <f t="array" ref="L465">_xlfn.IFS(C465&lt;18,"under 18",C465&lt;36,"btw 18 &amp; 35",C465&lt;51,"btw 36 &amp;50",C465&lt;66,"btw 51 &amp; 66",C465&gt;66,"66 &amp; above")</f>
        <v>66 &amp; above</v>
      </c>
      <c r="M465">
        <f t="shared" si="8"/>
        <v>11</v>
      </c>
    </row>
    <row r="466" spans="1:13" x14ac:dyDescent="0.25">
      <c r="A466" t="s">
        <v>910</v>
      </c>
      <c r="B466" t="s">
        <v>803</v>
      </c>
      <c r="C466">
        <v>51</v>
      </c>
      <c r="D466" t="s">
        <v>19</v>
      </c>
      <c r="E466" s="2">
        <v>46004</v>
      </c>
      <c r="F466" s="2">
        <v>46013</v>
      </c>
      <c r="G466" t="s">
        <v>61</v>
      </c>
      <c r="H466" t="s">
        <v>98</v>
      </c>
      <c r="I466" s="3">
        <v>24478.42</v>
      </c>
      <c r="J466" s="4">
        <v>70</v>
      </c>
      <c r="K466" t="s">
        <v>21</v>
      </c>
      <c r="L466" t="str" cm="1">
        <f t="array" ref="L466">_xlfn.IFS(C466&lt;18,"under 18",C466&lt;36,"btw 18 &amp; 35",C466&lt;51,"btw 36 &amp;50",C466&lt;66,"btw 51 &amp; 66",C466&gt;66,"66 &amp; above")</f>
        <v>btw 51 &amp; 66</v>
      </c>
      <c r="M466">
        <f t="shared" si="8"/>
        <v>9</v>
      </c>
    </row>
    <row r="467" spans="1:13" x14ac:dyDescent="0.25">
      <c r="A467" t="s">
        <v>911</v>
      </c>
      <c r="B467" t="s">
        <v>912</v>
      </c>
      <c r="C467">
        <v>24</v>
      </c>
      <c r="D467" t="s">
        <v>13</v>
      </c>
      <c r="E467" s="2">
        <v>45530</v>
      </c>
      <c r="F467" s="2">
        <v>45534</v>
      </c>
      <c r="G467" t="s">
        <v>32</v>
      </c>
      <c r="H467" t="s">
        <v>45</v>
      </c>
      <c r="I467" s="3">
        <v>3310.93</v>
      </c>
      <c r="J467" s="4">
        <v>50</v>
      </c>
      <c r="K467" t="s">
        <v>16</v>
      </c>
      <c r="L467" t="str" cm="1">
        <f t="array" ref="L467">_xlfn.IFS(C467&lt;18,"under 18",C467&lt;36,"btw 18 &amp; 35",C467&lt;51,"btw 36 &amp;50",C467&lt;66,"btw 51 &amp; 66",C467&gt;66,"66 &amp; above")</f>
        <v>btw 18 &amp; 35</v>
      </c>
      <c r="M467">
        <f t="shared" si="8"/>
        <v>4</v>
      </c>
    </row>
    <row r="468" spans="1:13" x14ac:dyDescent="0.25">
      <c r="A468" t="s">
        <v>913</v>
      </c>
      <c r="B468" t="s">
        <v>914</v>
      </c>
      <c r="C468">
        <v>11</v>
      </c>
      <c r="D468" t="s">
        <v>19</v>
      </c>
      <c r="E468" s="2">
        <v>45429</v>
      </c>
      <c r="F468" s="2">
        <v>45434</v>
      </c>
      <c r="G468" t="s">
        <v>50</v>
      </c>
      <c r="H468" t="s">
        <v>131</v>
      </c>
      <c r="I468" s="3">
        <v>3615.86</v>
      </c>
      <c r="J468" s="4">
        <v>70</v>
      </c>
      <c r="K468" t="s">
        <v>16</v>
      </c>
      <c r="L468" t="str" cm="1">
        <f t="array" ref="L468">_xlfn.IFS(C468&lt;18,"under 18",C468&lt;36,"btw 18 &amp; 35",C468&lt;51,"btw 36 &amp;50",C468&lt;66,"btw 51 &amp; 66",C468&gt;66,"66 &amp; above")</f>
        <v>under 18</v>
      </c>
      <c r="M468">
        <f t="shared" si="8"/>
        <v>5</v>
      </c>
    </row>
    <row r="469" spans="1:13" x14ac:dyDescent="0.25">
      <c r="A469" t="s">
        <v>915</v>
      </c>
      <c r="B469" t="s">
        <v>916</v>
      </c>
      <c r="C469">
        <v>71</v>
      </c>
      <c r="D469" t="s">
        <v>19</v>
      </c>
      <c r="E469" s="2">
        <v>45694</v>
      </c>
      <c r="F469" s="2">
        <v>45701</v>
      </c>
      <c r="G469" t="s">
        <v>14</v>
      </c>
      <c r="H469" t="s">
        <v>166</v>
      </c>
      <c r="I469" s="3">
        <v>14885.93</v>
      </c>
      <c r="J469" s="4">
        <v>90</v>
      </c>
      <c r="K469" t="s">
        <v>16</v>
      </c>
      <c r="L469" t="str" cm="1">
        <f t="array" ref="L469">_xlfn.IFS(C469&lt;18,"under 18",C469&lt;36,"btw 18 &amp; 35",C469&lt;51,"btw 36 &amp;50",C469&lt;66,"btw 51 &amp; 66",C469&gt;66,"66 &amp; above")</f>
        <v>66 &amp; above</v>
      </c>
      <c r="M469">
        <f t="shared" si="8"/>
        <v>7</v>
      </c>
    </row>
    <row r="470" spans="1:13" x14ac:dyDescent="0.25">
      <c r="A470" t="s">
        <v>917</v>
      </c>
      <c r="B470" t="s">
        <v>842</v>
      </c>
      <c r="C470">
        <v>29</v>
      </c>
      <c r="D470" t="s">
        <v>19</v>
      </c>
      <c r="E470" s="2">
        <v>45296</v>
      </c>
      <c r="F470" s="2">
        <v>45310</v>
      </c>
      <c r="G470" t="s">
        <v>61</v>
      </c>
      <c r="H470" t="s">
        <v>134</v>
      </c>
      <c r="I470" s="3">
        <v>21594.51</v>
      </c>
      <c r="J470" s="4">
        <v>60</v>
      </c>
      <c r="K470" t="s">
        <v>16</v>
      </c>
      <c r="L470" t="str" cm="1">
        <f t="array" ref="L470">_xlfn.IFS(C470&lt;18,"under 18",C470&lt;36,"btw 18 &amp; 35",C470&lt;51,"btw 36 &amp;50",C470&lt;66,"btw 51 &amp; 66",C470&gt;66,"66 &amp; above")</f>
        <v>btw 18 &amp; 35</v>
      </c>
      <c r="M470">
        <f t="shared" si="8"/>
        <v>14</v>
      </c>
    </row>
    <row r="471" spans="1:13" x14ac:dyDescent="0.25">
      <c r="A471" t="s">
        <v>918</v>
      </c>
      <c r="B471" t="s">
        <v>513</v>
      </c>
      <c r="C471">
        <v>35</v>
      </c>
      <c r="D471" t="s">
        <v>13</v>
      </c>
      <c r="E471" s="2">
        <v>45907</v>
      </c>
      <c r="F471" s="2">
        <v>45918</v>
      </c>
      <c r="G471" t="s">
        <v>61</v>
      </c>
      <c r="H471" t="s">
        <v>62</v>
      </c>
      <c r="I471" s="3">
        <v>16660.509999999998</v>
      </c>
      <c r="J471" s="4">
        <v>70</v>
      </c>
      <c r="K471" t="s">
        <v>21</v>
      </c>
      <c r="L471" t="str" cm="1">
        <f t="array" ref="L471">_xlfn.IFS(C471&lt;18,"under 18",C471&lt;36,"btw 18 &amp; 35",C471&lt;51,"btw 36 &amp;50",C471&lt;66,"btw 51 &amp; 66",C471&gt;66,"66 &amp; above")</f>
        <v>btw 18 &amp; 35</v>
      </c>
      <c r="M471">
        <f t="shared" si="8"/>
        <v>11</v>
      </c>
    </row>
    <row r="472" spans="1:13" x14ac:dyDescent="0.25">
      <c r="A472" t="s">
        <v>919</v>
      </c>
      <c r="B472" t="s">
        <v>920</v>
      </c>
      <c r="C472">
        <v>9</v>
      </c>
      <c r="D472" t="s">
        <v>19</v>
      </c>
      <c r="E472" s="2">
        <v>45352</v>
      </c>
      <c r="F472" s="2">
        <v>45355</v>
      </c>
      <c r="G472" t="s">
        <v>50</v>
      </c>
      <c r="H472" t="s">
        <v>121</v>
      </c>
      <c r="I472" s="3">
        <v>5025.87</v>
      </c>
      <c r="J472" s="4">
        <v>80</v>
      </c>
      <c r="K472" t="s">
        <v>16</v>
      </c>
      <c r="L472" t="str" cm="1">
        <f t="array" ref="L472">_xlfn.IFS(C472&lt;18,"under 18",C472&lt;36,"btw 18 &amp; 35",C472&lt;51,"btw 36 &amp;50",C472&lt;66,"btw 51 &amp; 66",C472&gt;66,"66 &amp; above")</f>
        <v>under 18</v>
      </c>
      <c r="M472">
        <f t="shared" si="8"/>
        <v>3</v>
      </c>
    </row>
    <row r="473" spans="1:13" x14ac:dyDescent="0.25">
      <c r="A473" t="s">
        <v>921</v>
      </c>
      <c r="B473" t="s">
        <v>192</v>
      </c>
      <c r="C473">
        <v>64</v>
      </c>
      <c r="D473" t="s">
        <v>19</v>
      </c>
      <c r="E473" s="2">
        <v>45437</v>
      </c>
      <c r="F473" s="2">
        <v>45439</v>
      </c>
      <c r="G473" t="s">
        <v>61</v>
      </c>
      <c r="H473" t="s">
        <v>78</v>
      </c>
      <c r="I473" s="3">
        <v>3693.42</v>
      </c>
      <c r="J473" s="4">
        <v>90</v>
      </c>
      <c r="K473" t="s">
        <v>16</v>
      </c>
      <c r="L473" t="str" cm="1">
        <f t="array" ref="L473">_xlfn.IFS(C473&lt;18,"under 18",C473&lt;36,"btw 18 &amp; 35",C473&lt;51,"btw 36 &amp;50",C473&lt;66,"btw 51 &amp; 66",C473&gt;66,"66 &amp; above")</f>
        <v>btw 51 &amp; 66</v>
      </c>
      <c r="M473">
        <f t="shared" si="8"/>
        <v>2</v>
      </c>
    </row>
    <row r="474" spans="1:13" x14ac:dyDescent="0.25">
      <c r="A474" t="s">
        <v>922</v>
      </c>
      <c r="B474" t="s">
        <v>923</v>
      </c>
      <c r="C474">
        <v>11</v>
      </c>
      <c r="D474" t="s">
        <v>13</v>
      </c>
      <c r="E474" s="2">
        <v>45819</v>
      </c>
      <c r="F474" s="2">
        <v>45823</v>
      </c>
      <c r="G474" t="s">
        <v>50</v>
      </c>
      <c r="H474" t="s">
        <v>131</v>
      </c>
      <c r="I474" s="3">
        <v>6070.15</v>
      </c>
      <c r="J474" s="4">
        <v>70</v>
      </c>
      <c r="K474" t="s">
        <v>16</v>
      </c>
      <c r="L474" t="str" cm="1">
        <f t="array" ref="L474">_xlfn.IFS(C474&lt;18,"under 18",C474&lt;36,"btw 18 &amp; 35",C474&lt;51,"btw 36 &amp;50",C474&lt;66,"btw 51 &amp; 66",C474&gt;66,"66 &amp; above")</f>
        <v>under 18</v>
      </c>
      <c r="M474">
        <f t="shared" si="8"/>
        <v>4</v>
      </c>
    </row>
    <row r="475" spans="1:13" x14ac:dyDescent="0.25">
      <c r="A475" t="s">
        <v>924</v>
      </c>
      <c r="B475" t="s">
        <v>925</v>
      </c>
      <c r="C475">
        <v>78</v>
      </c>
      <c r="D475" t="s">
        <v>13</v>
      </c>
      <c r="E475" s="2">
        <v>45783</v>
      </c>
      <c r="F475" s="2">
        <v>45784</v>
      </c>
      <c r="G475" t="s">
        <v>32</v>
      </c>
      <c r="H475" t="s">
        <v>36</v>
      </c>
      <c r="I475" s="3">
        <v>1488.89</v>
      </c>
      <c r="J475" s="4">
        <v>80</v>
      </c>
      <c r="K475" t="s">
        <v>16</v>
      </c>
      <c r="L475" t="str" cm="1">
        <f t="array" ref="L475">_xlfn.IFS(C475&lt;18,"under 18",C475&lt;36,"btw 18 &amp; 35",C475&lt;51,"btw 36 &amp;50",C475&lt;66,"btw 51 &amp; 66",C475&gt;66,"66 &amp; above")</f>
        <v>66 &amp; above</v>
      </c>
      <c r="M475">
        <f t="shared" si="8"/>
        <v>1</v>
      </c>
    </row>
    <row r="476" spans="1:13" x14ac:dyDescent="0.25">
      <c r="A476" t="s">
        <v>926</v>
      </c>
      <c r="B476" t="s">
        <v>56</v>
      </c>
      <c r="C476">
        <v>64</v>
      </c>
      <c r="D476" t="s">
        <v>13</v>
      </c>
      <c r="E476" s="2">
        <v>45477</v>
      </c>
      <c r="F476" s="2">
        <v>45480</v>
      </c>
      <c r="G476" t="s">
        <v>32</v>
      </c>
      <c r="H476" t="s">
        <v>36</v>
      </c>
      <c r="I476" s="3">
        <v>3173.52</v>
      </c>
      <c r="J476" s="4">
        <v>90</v>
      </c>
      <c r="K476" t="s">
        <v>26</v>
      </c>
      <c r="L476" t="str" cm="1">
        <f t="array" ref="L476">_xlfn.IFS(C476&lt;18,"under 18",C476&lt;36,"btw 18 &amp; 35",C476&lt;51,"btw 36 &amp;50",C476&lt;66,"btw 51 &amp; 66",C476&gt;66,"66 &amp; above")</f>
        <v>btw 51 &amp; 66</v>
      </c>
      <c r="M476">
        <f t="shared" si="8"/>
        <v>3</v>
      </c>
    </row>
    <row r="477" spans="1:13" x14ac:dyDescent="0.25">
      <c r="A477" t="s">
        <v>927</v>
      </c>
      <c r="B477" t="s">
        <v>928</v>
      </c>
      <c r="C477">
        <v>38</v>
      </c>
      <c r="D477" t="s">
        <v>19</v>
      </c>
      <c r="E477" s="2">
        <v>45770</v>
      </c>
      <c r="F477" s="2">
        <v>45779</v>
      </c>
      <c r="G477" t="s">
        <v>61</v>
      </c>
      <c r="H477" t="s">
        <v>62</v>
      </c>
      <c r="I477" s="3">
        <v>12100.26</v>
      </c>
      <c r="J477" s="4">
        <v>90</v>
      </c>
      <c r="K477" t="s">
        <v>26</v>
      </c>
      <c r="L477" t="str" cm="1">
        <f t="array" ref="L477">_xlfn.IFS(C477&lt;18,"under 18",C477&lt;36,"btw 18 &amp; 35",C477&lt;51,"btw 36 &amp;50",C477&lt;66,"btw 51 &amp; 66",C477&gt;66,"66 &amp; above")</f>
        <v>btw 36 &amp;50</v>
      </c>
      <c r="M477">
        <f t="shared" si="8"/>
        <v>9</v>
      </c>
    </row>
    <row r="478" spans="1:13" x14ac:dyDescent="0.25">
      <c r="A478" t="s">
        <v>929</v>
      </c>
      <c r="B478" t="s">
        <v>331</v>
      </c>
      <c r="C478">
        <v>66</v>
      </c>
      <c r="D478" t="s">
        <v>19</v>
      </c>
      <c r="E478" s="2">
        <v>45343</v>
      </c>
      <c r="F478" s="2">
        <v>45349</v>
      </c>
      <c r="G478" t="s">
        <v>14</v>
      </c>
      <c r="H478" t="s">
        <v>39</v>
      </c>
      <c r="I478" s="3">
        <v>17141</v>
      </c>
      <c r="J478" s="4">
        <v>90</v>
      </c>
      <c r="K478" t="s">
        <v>16</v>
      </c>
      <c r="L478" t="e" cm="1">
        <f t="array" ref="L478">_xlfn.IFS(C478&lt;18,"under 18",C478&lt;36,"btw 18 &amp; 35",C478&lt;51,"btw 36 &amp;50",C478&lt;66,"btw 51 &amp; 66",C478&gt;66,"66 &amp; above")</f>
        <v>#N/A</v>
      </c>
      <c r="M478">
        <f t="shared" si="8"/>
        <v>6</v>
      </c>
    </row>
    <row r="479" spans="1:13" x14ac:dyDescent="0.25">
      <c r="A479" t="s">
        <v>930</v>
      </c>
      <c r="B479" t="s">
        <v>219</v>
      </c>
      <c r="C479">
        <v>36</v>
      </c>
      <c r="D479" t="s">
        <v>19</v>
      </c>
      <c r="E479" s="2">
        <v>45683</v>
      </c>
      <c r="F479" s="2">
        <v>45684</v>
      </c>
      <c r="G479" t="s">
        <v>24</v>
      </c>
      <c r="H479" t="s">
        <v>205</v>
      </c>
      <c r="I479" s="3">
        <v>1576.85</v>
      </c>
      <c r="J479" s="4">
        <v>80</v>
      </c>
      <c r="K479" t="s">
        <v>21</v>
      </c>
      <c r="L479" t="str" cm="1">
        <f t="array" ref="L479">_xlfn.IFS(C479&lt;18,"under 18",C479&lt;36,"btw 18 &amp; 35",C479&lt;51,"btw 36 &amp;50",C479&lt;66,"btw 51 &amp; 66",C479&gt;66,"66 &amp; above")</f>
        <v>btw 36 &amp;50</v>
      </c>
      <c r="M479">
        <f t="shared" si="8"/>
        <v>1</v>
      </c>
    </row>
    <row r="480" spans="1:13" x14ac:dyDescent="0.25">
      <c r="A480" t="s">
        <v>931</v>
      </c>
      <c r="B480" t="s">
        <v>629</v>
      </c>
      <c r="C480">
        <v>54</v>
      </c>
      <c r="D480" t="s">
        <v>13</v>
      </c>
      <c r="E480" s="2">
        <v>45504</v>
      </c>
      <c r="F480" s="2">
        <v>45505</v>
      </c>
      <c r="G480" t="s">
        <v>32</v>
      </c>
      <c r="H480" t="s">
        <v>54</v>
      </c>
      <c r="I480" s="3">
        <v>534.38</v>
      </c>
      <c r="J480" s="4">
        <v>80</v>
      </c>
      <c r="K480" t="s">
        <v>16</v>
      </c>
      <c r="L480" t="str" cm="1">
        <f t="array" ref="L480">_xlfn.IFS(C480&lt;18,"under 18",C480&lt;36,"btw 18 &amp; 35",C480&lt;51,"btw 36 &amp;50",C480&lt;66,"btw 51 &amp; 66",C480&gt;66,"66 &amp; above")</f>
        <v>btw 51 &amp; 66</v>
      </c>
      <c r="M480">
        <f t="shared" si="8"/>
        <v>1</v>
      </c>
    </row>
    <row r="481" spans="1:13" x14ac:dyDescent="0.25">
      <c r="A481" t="s">
        <v>932</v>
      </c>
      <c r="B481" t="s">
        <v>933</v>
      </c>
      <c r="C481">
        <v>1</v>
      </c>
      <c r="D481" t="s">
        <v>19</v>
      </c>
      <c r="E481" s="2">
        <v>45300</v>
      </c>
      <c r="F481" s="2">
        <v>45301</v>
      </c>
      <c r="G481" t="s">
        <v>50</v>
      </c>
      <c r="H481" t="s">
        <v>124</v>
      </c>
      <c r="I481" s="3">
        <v>728.22</v>
      </c>
      <c r="J481" s="4">
        <v>60</v>
      </c>
      <c r="K481" t="s">
        <v>16</v>
      </c>
      <c r="L481" t="str" cm="1">
        <f t="array" ref="L481">_xlfn.IFS(C481&lt;18,"under 18",C481&lt;36,"btw 18 &amp; 35",C481&lt;51,"btw 36 &amp;50",C481&lt;66,"btw 51 &amp; 66",C481&gt;66,"66 &amp; above")</f>
        <v>under 18</v>
      </c>
      <c r="M481">
        <f t="shared" si="8"/>
        <v>1</v>
      </c>
    </row>
    <row r="482" spans="1:13" x14ac:dyDescent="0.25">
      <c r="A482" t="s">
        <v>934</v>
      </c>
      <c r="B482" t="s">
        <v>12</v>
      </c>
      <c r="C482">
        <v>29</v>
      </c>
      <c r="D482" t="s">
        <v>13</v>
      </c>
      <c r="E482" s="2">
        <v>45847</v>
      </c>
      <c r="F482" s="2">
        <v>45853</v>
      </c>
      <c r="G482" t="s">
        <v>61</v>
      </c>
      <c r="H482" t="s">
        <v>143</v>
      </c>
      <c r="I482" s="3">
        <v>12100.99</v>
      </c>
      <c r="J482" s="4">
        <v>100</v>
      </c>
      <c r="K482" t="s">
        <v>21</v>
      </c>
      <c r="L482" t="str" cm="1">
        <f t="array" ref="L482">_xlfn.IFS(C482&lt;18,"under 18",C482&lt;36,"btw 18 &amp; 35",C482&lt;51,"btw 36 &amp;50",C482&lt;66,"btw 51 &amp; 66",C482&gt;66,"66 &amp; above")</f>
        <v>btw 18 &amp; 35</v>
      </c>
      <c r="M482">
        <f t="shared" si="8"/>
        <v>6</v>
      </c>
    </row>
    <row r="483" spans="1:13" x14ac:dyDescent="0.25">
      <c r="A483" t="s">
        <v>935</v>
      </c>
      <c r="B483" t="s">
        <v>936</v>
      </c>
      <c r="C483">
        <v>77</v>
      </c>
      <c r="D483" t="s">
        <v>19</v>
      </c>
      <c r="E483" s="2">
        <v>45791</v>
      </c>
      <c r="F483" s="2">
        <v>45797</v>
      </c>
      <c r="G483" t="s">
        <v>14</v>
      </c>
      <c r="H483" t="s">
        <v>15</v>
      </c>
      <c r="I483" s="3">
        <v>8417.51</v>
      </c>
      <c r="J483" s="4">
        <v>70</v>
      </c>
      <c r="K483" t="s">
        <v>26</v>
      </c>
      <c r="L483" t="str" cm="1">
        <f t="array" ref="L483">_xlfn.IFS(C483&lt;18,"under 18",C483&lt;36,"btw 18 &amp; 35",C483&lt;51,"btw 36 &amp;50",C483&lt;66,"btw 51 &amp; 66",C483&gt;66,"66 &amp; above")</f>
        <v>66 &amp; above</v>
      </c>
      <c r="M483">
        <f t="shared" si="8"/>
        <v>6</v>
      </c>
    </row>
    <row r="484" spans="1:13" x14ac:dyDescent="0.25">
      <c r="A484" t="s">
        <v>937</v>
      </c>
      <c r="B484" t="s">
        <v>871</v>
      </c>
      <c r="C484">
        <v>82</v>
      </c>
      <c r="D484" t="s">
        <v>19</v>
      </c>
      <c r="E484" s="2">
        <v>45519</v>
      </c>
      <c r="F484" s="2">
        <v>45522</v>
      </c>
      <c r="G484" t="s">
        <v>14</v>
      </c>
      <c r="H484" t="s">
        <v>166</v>
      </c>
      <c r="I484" s="3">
        <v>4494.01</v>
      </c>
      <c r="J484" s="4">
        <v>50</v>
      </c>
      <c r="K484" t="s">
        <v>26</v>
      </c>
      <c r="L484" t="str" cm="1">
        <f t="array" ref="L484">_xlfn.IFS(C484&lt;18,"under 18",C484&lt;36,"btw 18 &amp; 35",C484&lt;51,"btw 36 &amp;50",C484&lt;66,"btw 51 &amp; 66",C484&gt;66,"66 &amp; above")</f>
        <v>66 &amp; above</v>
      </c>
      <c r="M484">
        <f t="shared" si="8"/>
        <v>3</v>
      </c>
    </row>
    <row r="485" spans="1:13" x14ac:dyDescent="0.25">
      <c r="A485" t="s">
        <v>938</v>
      </c>
      <c r="B485" t="s">
        <v>939</v>
      </c>
      <c r="C485">
        <v>2</v>
      </c>
      <c r="D485" t="s">
        <v>13</v>
      </c>
      <c r="E485" s="2">
        <v>45360</v>
      </c>
      <c r="F485" s="2">
        <v>45364</v>
      </c>
      <c r="G485" t="s">
        <v>50</v>
      </c>
      <c r="H485" t="s">
        <v>124</v>
      </c>
      <c r="I485" s="3">
        <v>3929.21</v>
      </c>
      <c r="J485" s="4">
        <v>90</v>
      </c>
      <c r="K485" t="s">
        <v>21</v>
      </c>
      <c r="L485" t="str" cm="1">
        <f t="array" ref="L485">_xlfn.IFS(C485&lt;18,"under 18",C485&lt;36,"btw 18 &amp; 35",C485&lt;51,"btw 36 &amp;50",C485&lt;66,"btw 51 &amp; 66",C485&gt;66,"66 &amp; above")</f>
        <v>under 18</v>
      </c>
      <c r="M485">
        <f t="shared" si="8"/>
        <v>4</v>
      </c>
    </row>
    <row r="486" spans="1:13" x14ac:dyDescent="0.25">
      <c r="A486" t="s">
        <v>940</v>
      </c>
      <c r="B486" t="s">
        <v>855</v>
      </c>
      <c r="C486">
        <v>48</v>
      </c>
      <c r="D486" t="s">
        <v>19</v>
      </c>
      <c r="E486" s="2">
        <v>45983</v>
      </c>
      <c r="F486" s="2">
        <v>45997</v>
      </c>
      <c r="G486" t="s">
        <v>61</v>
      </c>
      <c r="H486" t="s">
        <v>78</v>
      </c>
      <c r="I486" s="3">
        <v>24600.43</v>
      </c>
      <c r="J486" s="4">
        <v>70</v>
      </c>
      <c r="K486" t="s">
        <v>21</v>
      </c>
      <c r="L486" t="str" cm="1">
        <f t="array" ref="L486">_xlfn.IFS(C486&lt;18,"under 18",C486&lt;36,"btw 18 &amp; 35",C486&lt;51,"btw 36 &amp;50",C486&lt;66,"btw 51 &amp; 66",C486&gt;66,"66 &amp; above")</f>
        <v>btw 36 &amp;50</v>
      </c>
      <c r="M486">
        <f t="shared" si="8"/>
        <v>14</v>
      </c>
    </row>
    <row r="487" spans="1:13" x14ac:dyDescent="0.25">
      <c r="A487" t="s">
        <v>941</v>
      </c>
      <c r="B487" t="s">
        <v>942</v>
      </c>
      <c r="C487">
        <v>60</v>
      </c>
      <c r="D487" t="s">
        <v>13</v>
      </c>
      <c r="E487" s="2">
        <v>45438</v>
      </c>
      <c r="F487" s="2">
        <v>45441</v>
      </c>
      <c r="G487" t="s">
        <v>24</v>
      </c>
      <c r="H487" t="s">
        <v>83</v>
      </c>
      <c r="I487" s="3">
        <v>4928.0600000000004</v>
      </c>
      <c r="J487" s="4">
        <v>60</v>
      </c>
      <c r="K487" t="s">
        <v>26</v>
      </c>
      <c r="L487" t="str" cm="1">
        <f t="array" ref="L487">_xlfn.IFS(C487&lt;18,"under 18",C487&lt;36,"btw 18 &amp; 35",C487&lt;51,"btw 36 &amp;50",C487&lt;66,"btw 51 &amp; 66",C487&gt;66,"66 &amp; above")</f>
        <v>btw 51 &amp; 66</v>
      </c>
      <c r="M487">
        <f t="shared" si="8"/>
        <v>3</v>
      </c>
    </row>
    <row r="488" spans="1:13" x14ac:dyDescent="0.25">
      <c r="A488" t="s">
        <v>943</v>
      </c>
      <c r="B488" t="s">
        <v>100</v>
      </c>
      <c r="C488">
        <v>69</v>
      </c>
      <c r="D488" t="s">
        <v>19</v>
      </c>
      <c r="E488" s="2">
        <v>45686</v>
      </c>
      <c r="F488" s="2">
        <v>45687</v>
      </c>
      <c r="G488" t="s">
        <v>24</v>
      </c>
      <c r="H488" t="s">
        <v>29</v>
      </c>
      <c r="I488" s="3">
        <v>1292.28</v>
      </c>
      <c r="J488" s="4">
        <v>100</v>
      </c>
      <c r="K488" t="s">
        <v>16</v>
      </c>
      <c r="L488" t="str" cm="1">
        <f t="array" ref="L488">_xlfn.IFS(C488&lt;18,"under 18",C488&lt;36,"btw 18 &amp; 35",C488&lt;51,"btw 36 &amp;50",C488&lt;66,"btw 51 &amp; 66",C488&gt;66,"66 &amp; above")</f>
        <v>66 &amp; above</v>
      </c>
      <c r="M488">
        <f t="shared" si="8"/>
        <v>1</v>
      </c>
    </row>
    <row r="489" spans="1:13" x14ac:dyDescent="0.25">
      <c r="A489" t="s">
        <v>944</v>
      </c>
      <c r="B489" t="s">
        <v>945</v>
      </c>
      <c r="C489">
        <v>14</v>
      </c>
      <c r="D489" t="s">
        <v>19</v>
      </c>
      <c r="E489" s="2">
        <v>45598</v>
      </c>
      <c r="F489" s="2">
        <v>45601</v>
      </c>
      <c r="G489" t="s">
        <v>50</v>
      </c>
      <c r="H489" t="s">
        <v>131</v>
      </c>
      <c r="I489" s="3">
        <v>3900.85</v>
      </c>
      <c r="J489" s="4">
        <v>90</v>
      </c>
      <c r="K489" t="s">
        <v>16</v>
      </c>
      <c r="L489" t="str" cm="1">
        <f t="array" ref="L489">_xlfn.IFS(C489&lt;18,"under 18",C489&lt;36,"btw 18 &amp; 35",C489&lt;51,"btw 36 &amp;50",C489&lt;66,"btw 51 &amp; 66",C489&gt;66,"66 &amp; above")</f>
        <v>under 18</v>
      </c>
      <c r="M489">
        <f t="shared" si="8"/>
        <v>3</v>
      </c>
    </row>
    <row r="490" spans="1:13" x14ac:dyDescent="0.25">
      <c r="A490" t="s">
        <v>946</v>
      </c>
      <c r="B490" t="s">
        <v>947</v>
      </c>
      <c r="C490">
        <v>39</v>
      </c>
      <c r="D490" t="s">
        <v>19</v>
      </c>
      <c r="E490" s="2">
        <v>45771</v>
      </c>
      <c r="F490" s="2">
        <v>45776</v>
      </c>
      <c r="G490" t="s">
        <v>32</v>
      </c>
      <c r="H490" t="s">
        <v>235</v>
      </c>
      <c r="I490" s="3">
        <v>2872.81</v>
      </c>
      <c r="J490" s="4">
        <v>100</v>
      </c>
      <c r="K490" t="s">
        <v>21</v>
      </c>
      <c r="L490" t="str" cm="1">
        <f t="array" ref="L490">_xlfn.IFS(C490&lt;18,"under 18",C490&lt;36,"btw 18 &amp; 35",C490&lt;51,"btw 36 &amp;50",C490&lt;66,"btw 51 &amp; 66",C490&gt;66,"66 &amp; above")</f>
        <v>btw 36 &amp;50</v>
      </c>
      <c r="M490">
        <f t="shared" si="8"/>
        <v>5</v>
      </c>
    </row>
    <row r="491" spans="1:13" x14ac:dyDescent="0.25">
      <c r="A491" t="s">
        <v>948</v>
      </c>
      <c r="B491" t="s">
        <v>949</v>
      </c>
      <c r="C491">
        <v>43</v>
      </c>
      <c r="D491" t="s">
        <v>19</v>
      </c>
      <c r="E491" s="2">
        <v>45975</v>
      </c>
      <c r="F491" s="2">
        <v>45984</v>
      </c>
      <c r="G491" t="s">
        <v>61</v>
      </c>
      <c r="H491" t="s">
        <v>98</v>
      </c>
      <c r="I491" s="3">
        <v>16993.79</v>
      </c>
      <c r="J491" s="4">
        <v>70</v>
      </c>
      <c r="K491" t="s">
        <v>26</v>
      </c>
      <c r="L491" t="str" cm="1">
        <f t="array" ref="L491">_xlfn.IFS(C491&lt;18,"under 18",C491&lt;36,"btw 18 &amp; 35",C491&lt;51,"btw 36 &amp;50",C491&lt;66,"btw 51 &amp; 66",C491&gt;66,"66 &amp; above")</f>
        <v>btw 36 &amp;50</v>
      </c>
      <c r="M491">
        <f t="shared" si="8"/>
        <v>9</v>
      </c>
    </row>
    <row r="492" spans="1:13" x14ac:dyDescent="0.25">
      <c r="A492" t="s">
        <v>950</v>
      </c>
      <c r="B492" t="s">
        <v>951</v>
      </c>
      <c r="C492">
        <v>11</v>
      </c>
      <c r="D492" t="s">
        <v>13</v>
      </c>
      <c r="E492" s="2">
        <v>45979</v>
      </c>
      <c r="F492" s="2">
        <v>45983</v>
      </c>
      <c r="G492" t="s">
        <v>50</v>
      </c>
      <c r="H492" t="s">
        <v>379</v>
      </c>
      <c r="I492" s="3">
        <v>4693.3500000000004</v>
      </c>
      <c r="J492" s="4">
        <v>80</v>
      </c>
      <c r="K492" t="s">
        <v>16</v>
      </c>
      <c r="L492" t="str" cm="1">
        <f t="array" ref="L492">_xlfn.IFS(C492&lt;18,"under 18",C492&lt;36,"btw 18 &amp; 35",C492&lt;51,"btw 36 &amp;50",C492&lt;66,"btw 51 &amp; 66",C492&gt;66,"66 &amp; above")</f>
        <v>under 18</v>
      </c>
      <c r="M492">
        <f t="shared" si="8"/>
        <v>4</v>
      </c>
    </row>
    <row r="493" spans="1:13" x14ac:dyDescent="0.25">
      <c r="A493" t="s">
        <v>952</v>
      </c>
      <c r="B493" t="s">
        <v>953</v>
      </c>
      <c r="C493">
        <v>71</v>
      </c>
      <c r="D493" t="s">
        <v>19</v>
      </c>
      <c r="E493" s="2">
        <v>45990</v>
      </c>
      <c r="F493" s="2">
        <v>45991</v>
      </c>
      <c r="G493" t="s">
        <v>24</v>
      </c>
      <c r="H493" t="s">
        <v>222</v>
      </c>
      <c r="I493" s="3">
        <v>2381.67</v>
      </c>
      <c r="J493" s="4">
        <v>60</v>
      </c>
      <c r="K493" t="s">
        <v>26</v>
      </c>
      <c r="L493" t="str" cm="1">
        <f t="array" ref="L493">_xlfn.IFS(C493&lt;18,"under 18",C493&lt;36,"btw 18 &amp; 35",C493&lt;51,"btw 36 &amp;50",C493&lt;66,"btw 51 &amp; 66",C493&gt;66,"66 &amp; above")</f>
        <v>66 &amp; above</v>
      </c>
      <c r="M493">
        <f t="shared" si="8"/>
        <v>1</v>
      </c>
    </row>
    <row r="494" spans="1:13" x14ac:dyDescent="0.25">
      <c r="A494" t="s">
        <v>954</v>
      </c>
      <c r="B494" t="s">
        <v>955</v>
      </c>
      <c r="C494">
        <v>14</v>
      </c>
      <c r="D494" t="s">
        <v>13</v>
      </c>
      <c r="E494" s="2">
        <v>45387</v>
      </c>
      <c r="F494" s="2">
        <v>45389</v>
      </c>
      <c r="G494" t="s">
        <v>50</v>
      </c>
      <c r="H494" t="s">
        <v>118</v>
      </c>
      <c r="I494" s="3">
        <v>3014.2</v>
      </c>
      <c r="J494" s="4">
        <v>60</v>
      </c>
      <c r="K494" t="s">
        <v>21</v>
      </c>
      <c r="L494" t="str" cm="1">
        <f t="array" ref="L494">_xlfn.IFS(C494&lt;18,"under 18",C494&lt;36,"btw 18 &amp; 35",C494&lt;51,"btw 36 &amp;50",C494&lt;66,"btw 51 &amp; 66",C494&gt;66,"66 &amp; above")</f>
        <v>under 18</v>
      </c>
      <c r="M494">
        <f t="shared" si="8"/>
        <v>2</v>
      </c>
    </row>
    <row r="495" spans="1:13" x14ac:dyDescent="0.25">
      <c r="A495" t="s">
        <v>956</v>
      </c>
      <c r="B495" t="s">
        <v>957</v>
      </c>
      <c r="C495">
        <v>45</v>
      </c>
      <c r="D495" t="s">
        <v>19</v>
      </c>
      <c r="E495" s="2">
        <v>45431</v>
      </c>
      <c r="F495" s="2">
        <v>45439</v>
      </c>
      <c r="G495" t="s">
        <v>71</v>
      </c>
      <c r="H495" t="s">
        <v>296</v>
      </c>
      <c r="I495" s="3">
        <v>13434.66</v>
      </c>
      <c r="J495" s="4">
        <v>60</v>
      </c>
      <c r="K495" t="s">
        <v>21</v>
      </c>
      <c r="L495" t="str" cm="1">
        <f t="array" ref="L495">_xlfn.IFS(C495&lt;18,"under 18",C495&lt;36,"btw 18 &amp; 35",C495&lt;51,"btw 36 &amp;50",C495&lt;66,"btw 51 &amp; 66",C495&gt;66,"66 &amp; above")</f>
        <v>btw 36 &amp;50</v>
      </c>
      <c r="M495">
        <f t="shared" si="8"/>
        <v>8</v>
      </c>
    </row>
    <row r="496" spans="1:13" x14ac:dyDescent="0.25">
      <c r="A496" t="s">
        <v>958</v>
      </c>
      <c r="B496" t="s">
        <v>959</v>
      </c>
      <c r="C496">
        <v>29</v>
      </c>
      <c r="D496" t="s">
        <v>13</v>
      </c>
      <c r="E496" s="2">
        <v>45792</v>
      </c>
      <c r="F496" s="2">
        <v>45803</v>
      </c>
      <c r="G496" t="s">
        <v>61</v>
      </c>
      <c r="H496" t="s">
        <v>143</v>
      </c>
      <c r="I496" s="3">
        <v>13647.71</v>
      </c>
      <c r="J496" s="4">
        <v>50</v>
      </c>
      <c r="K496" t="s">
        <v>16</v>
      </c>
      <c r="L496" t="str" cm="1">
        <f t="array" ref="L496">_xlfn.IFS(C496&lt;18,"under 18",C496&lt;36,"btw 18 &amp; 35",C496&lt;51,"btw 36 &amp;50",C496&lt;66,"btw 51 &amp; 66",C496&gt;66,"66 &amp; above")</f>
        <v>btw 18 &amp; 35</v>
      </c>
      <c r="M496">
        <f t="shared" si="8"/>
        <v>11</v>
      </c>
    </row>
    <row r="497" spans="1:13" x14ac:dyDescent="0.25">
      <c r="A497" t="s">
        <v>960</v>
      </c>
      <c r="B497" t="s">
        <v>961</v>
      </c>
      <c r="C497">
        <v>44</v>
      </c>
      <c r="D497" t="s">
        <v>13</v>
      </c>
      <c r="E497" s="2">
        <v>45932</v>
      </c>
      <c r="F497" s="2">
        <v>45934</v>
      </c>
      <c r="G497" t="s">
        <v>61</v>
      </c>
      <c r="H497" t="s">
        <v>134</v>
      </c>
      <c r="I497" s="3">
        <v>4992.76</v>
      </c>
      <c r="J497" s="4">
        <v>60</v>
      </c>
      <c r="K497" t="s">
        <v>16</v>
      </c>
      <c r="L497" t="str" cm="1">
        <f t="array" ref="L497">_xlfn.IFS(C497&lt;18,"under 18",C497&lt;36,"btw 18 &amp; 35",C497&lt;51,"btw 36 &amp;50",C497&lt;66,"btw 51 &amp; 66",C497&gt;66,"66 &amp; above")</f>
        <v>btw 36 &amp;50</v>
      </c>
      <c r="M497">
        <f t="shared" si="8"/>
        <v>2</v>
      </c>
    </row>
    <row r="498" spans="1:13" x14ac:dyDescent="0.25">
      <c r="A498" t="s">
        <v>962</v>
      </c>
      <c r="B498" t="s">
        <v>963</v>
      </c>
      <c r="C498">
        <v>42</v>
      </c>
      <c r="D498" t="s">
        <v>13</v>
      </c>
      <c r="E498" s="2">
        <v>45657</v>
      </c>
      <c r="F498" s="2">
        <v>45659</v>
      </c>
      <c r="G498" t="s">
        <v>24</v>
      </c>
      <c r="H498" t="s">
        <v>42</v>
      </c>
      <c r="I498" s="3">
        <v>4370.5</v>
      </c>
      <c r="J498" s="4">
        <v>70</v>
      </c>
      <c r="K498" t="s">
        <v>21</v>
      </c>
      <c r="L498" t="str" cm="1">
        <f t="array" ref="L498">_xlfn.IFS(C498&lt;18,"under 18",C498&lt;36,"btw 18 &amp; 35",C498&lt;51,"btw 36 &amp;50",C498&lt;66,"btw 51 &amp; 66",C498&gt;66,"66 &amp; above")</f>
        <v>btw 36 &amp;50</v>
      </c>
      <c r="M498">
        <f t="shared" si="8"/>
        <v>2</v>
      </c>
    </row>
    <row r="499" spans="1:13" x14ac:dyDescent="0.25">
      <c r="A499" t="s">
        <v>964</v>
      </c>
      <c r="B499" t="s">
        <v>965</v>
      </c>
      <c r="C499">
        <v>48</v>
      </c>
      <c r="D499" t="s">
        <v>19</v>
      </c>
      <c r="E499" s="2">
        <v>45661</v>
      </c>
      <c r="F499" s="2">
        <v>45665</v>
      </c>
      <c r="G499" t="s">
        <v>32</v>
      </c>
      <c r="H499" t="s">
        <v>88</v>
      </c>
      <c r="I499" s="3">
        <v>3007.7</v>
      </c>
      <c r="J499" s="4">
        <v>80</v>
      </c>
      <c r="K499" t="s">
        <v>21</v>
      </c>
      <c r="L499" t="str" cm="1">
        <f t="array" ref="L499">_xlfn.IFS(C499&lt;18,"under 18",C499&lt;36,"btw 18 &amp; 35",C499&lt;51,"btw 36 &amp;50",C499&lt;66,"btw 51 &amp; 66",C499&gt;66,"66 &amp; above")</f>
        <v>btw 36 &amp;50</v>
      </c>
      <c r="M499">
        <f t="shared" si="8"/>
        <v>4</v>
      </c>
    </row>
    <row r="500" spans="1:13" x14ac:dyDescent="0.25">
      <c r="A500" t="s">
        <v>966</v>
      </c>
      <c r="B500" t="s">
        <v>967</v>
      </c>
      <c r="C500">
        <v>50</v>
      </c>
      <c r="D500" t="s">
        <v>19</v>
      </c>
      <c r="E500" s="2">
        <v>45666</v>
      </c>
      <c r="F500" s="2">
        <v>45673</v>
      </c>
      <c r="G500" t="s">
        <v>71</v>
      </c>
      <c r="H500" t="s">
        <v>95</v>
      </c>
      <c r="I500" s="3">
        <v>17578.87</v>
      </c>
      <c r="J500" s="4">
        <v>80</v>
      </c>
      <c r="K500" t="s">
        <v>16</v>
      </c>
      <c r="L500" t="str" cm="1">
        <f t="array" ref="L500">_xlfn.IFS(C500&lt;18,"under 18",C500&lt;36,"btw 18 &amp; 35",C500&lt;51,"btw 36 &amp;50",C500&lt;66,"btw 51 &amp; 66",C500&gt;66,"66 &amp; above")</f>
        <v>btw 36 &amp;50</v>
      </c>
      <c r="M500">
        <f t="shared" si="8"/>
        <v>7</v>
      </c>
    </row>
    <row r="501" spans="1:13" x14ac:dyDescent="0.25">
      <c r="A501" t="s">
        <v>968</v>
      </c>
      <c r="B501" t="s">
        <v>738</v>
      </c>
      <c r="C501">
        <v>78</v>
      </c>
      <c r="D501" t="s">
        <v>13</v>
      </c>
      <c r="E501" s="2">
        <v>45910</v>
      </c>
      <c r="F501" s="2">
        <v>45912</v>
      </c>
      <c r="G501" t="s">
        <v>32</v>
      </c>
      <c r="H501" t="s">
        <v>54</v>
      </c>
      <c r="I501" s="3">
        <v>1203.76</v>
      </c>
      <c r="J501" s="4">
        <v>90</v>
      </c>
      <c r="K501" t="s">
        <v>21</v>
      </c>
      <c r="L501" t="str" cm="1">
        <f t="array" ref="L501">_xlfn.IFS(C501&lt;18,"under 18",C501&lt;36,"btw 18 &amp; 35",C501&lt;51,"btw 36 &amp;50",C501&lt;66,"btw 51 &amp; 66",C501&gt;66,"66 &amp; above")</f>
        <v>66 &amp; above</v>
      </c>
      <c r="M501">
        <f t="shared" si="8"/>
        <v>2</v>
      </c>
    </row>
    <row r="502" spans="1:13" x14ac:dyDescent="0.25">
      <c r="A502" t="s">
        <v>969</v>
      </c>
      <c r="B502" t="s">
        <v>970</v>
      </c>
      <c r="C502">
        <v>22</v>
      </c>
      <c r="D502" t="s">
        <v>19</v>
      </c>
      <c r="E502" s="2">
        <v>45639</v>
      </c>
      <c r="F502" s="2">
        <v>45642</v>
      </c>
      <c r="G502" t="s">
        <v>24</v>
      </c>
      <c r="H502" t="s">
        <v>25</v>
      </c>
      <c r="I502" s="3">
        <v>2453.12</v>
      </c>
      <c r="J502" s="4">
        <v>50</v>
      </c>
      <c r="K502" t="s">
        <v>16</v>
      </c>
      <c r="L502" t="str" cm="1">
        <f t="array" ref="L502">_xlfn.IFS(C502&lt;18,"under 18",C502&lt;36,"btw 18 &amp; 35",C502&lt;51,"btw 36 &amp;50",C502&lt;66,"btw 51 &amp; 66",C502&gt;66,"66 &amp; above")</f>
        <v>btw 18 &amp; 35</v>
      </c>
      <c r="M502">
        <f t="shared" si="8"/>
        <v>3</v>
      </c>
    </row>
    <row r="503" spans="1:13" x14ac:dyDescent="0.25">
      <c r="A503" t="s">
        <v>971</v>
      </c>
      <c r="B503" t="s">
        <v>972</v>
      </c>
      <c r="C503">
        <v>64</v>
      </c>
      <c r="D503" t="s">
        <v>13</v>
      </c>
      <c r="E503" s="2">
        <v>45410</v>
      </c>
      <c r="F503" s="2">
        <v>45413</v>
      </c>
      <c r="G503" t="s">
        <v>14</v>
      </c>
      <c r="H503" t="s">
        <v>103</v>
      </c>
      <c r="I503" s="3">
        <v>6452.72</v>
      </c>
      <c r="J503" s="4">
        <v>70</v>
      </c>
      <c r="K503" t="s">
        <v>16</v>
      </c>
      <c r="L503" t="str" cm="1">
        <f t="array" ref="L503">_xlfn.IFS(C503&lt;18,"under 18",C503&lt;36,"btw 18 &amp; 35",C503&lt;51,"btw 36 &amp;50",C503&lt;66,"btw 51 &amp; 66",C503&gt;66,"66 &amp; above")</f>
        <v>btw 51 &amp; 66</v>
      </c>
      <c r="M503">
        <f t="shared" si="8"/>
        <v>3</v>
      </c>
    </row>
    <row r="504" spans="1:13" x14ac:dyDescent="0.25">
      <c r="A504" t="s">
        <v>973</v>
      </c>
      <c r="B504" t="s">
        <v>974</v>
      </c>
      <c r="C504">
        <v>10</v>
      </c>
      <c r="D504" t="s">
        <v>19</v>
      </c>
      <c r="E504" s="2">
        <v>45504</v>
      </c>
      <c r="F504" s="2">
        <v>45507</v>
      </c>
      <c r="G504" t="s">
        <v>50</v>
      </c>
      <c r="H504" t="s">
        <v>51</v>
      </c>
      <c r="I504" s="3">
        <v>3215.48</v>
      </c>
      <c r="J504" s="4">
        <v>90</v>
      </c>
      <c r="K504" t="s">
        <v>16</v>
      </c>
      <c r="L504" t="str" cm="1">
        <f t="array" ref="L504">_xlfn.IFS(C504&lt;18,"under 18",C504&lt;36,"btw 18 &amp; 35",C504&lt;51,"btw 36 &amp;50",C504&lt;66,"btw 51 &amp; 66",C504&gt;66,"66 &amp; above")</f>
        <v>under 18</v>
      </c>
      <c r="M504">
        <f t="shared" si="8"/>
        <v>3</v>
      </c>
    </row>
    <row r="505" spans="1:13" x14ac:dyDescent="0.25">
      <c r="A505" t="s">
        <v>975</v>
      </c>
      <c r="B505" t="s">
        <v>976</v>
      </c>
      <c r="C505">
        <v>62</v>
      </c>
      <c r="D505" t="s">
        <v>13</v>
      </c>
      <c r="E505" s="2">
        <v>45678</v>
      </c>
      <c r="F505" s="2">
        <v>45684</v>
      </c>
      <c r="G505" t="s">
        <v>14</v>
      </c>
      <c r="H505" t="s">
        <v>39</v>
      </c>
      <c r="I505" s="3">
        <v>17458.62</v>
      </c>
      <c r="J505" s="4">
        <v>0</v>
      </c>
      <c r="K505" t="s">
        <v>16</v>
      </c>
      <c r="L505" t="str" cm="1">
        <f t="array" ref="L505">_xlfn.IFS(C505&lt;18,"under 18",C505&lt;36,"btw 18 &amp; 35",C505&lt;51,"btw 36 &amp;50",C505&lt;66,"btw 51 &amp; 66",C505&gt;66,"66 &amp; above")</f>
        <v>btw 51 &amp; 66</v>
      </c>
      <c r="M505">
        <f t="shared" si="8"/>
        <v>6</v>
      </c>
    </row>
    <row r="506" spans="1:13" x14ac:dyDescent="0.25">
      <c r="A506" t="s">
        <v>977</v>
      </c>
      <c r="B506" t="s">
        <v>790</v>
      </c>
      <c r="C506">
        <v>57</v>
      </c>
      <c r="D506" t="s">
        <v>13</v>
      </c>
      <c r="E506" s="2">
        <v>45993</v>
      </c>
      <c r="F506" s="2">
        <v>45998</v>
      </c>
      <c r="G506" t="s">
        <v>14</v>
      </c>
      <c r="H506" t="s">
        <v>15</v>
      </c>
      <c r="I506" s="3">
        <v>14707.56</v>
      </c>
      <c r="J506" s="4">
        <v>80</v>
      </c>
      <c r="K506" t="s">
        <v>26</v>
      </c>
      <c r="L506" t="str" cm="1">
        <f t="array" ref="L506">_xlfn.IFS(C506&lt;18,"under 18",C506&lt;36,"btw 18 &amp; 35",C506&lt;51,"btw 36 &amp;50",C506&lt;66,"btw 51 &amp; 66",C506&gt;66,"66 &amp; above")</f>
        <v>btw 51 &amp; 66</v>
      </c>
      <c r="M506">
        <f t="shared" si="8"/>
        <v>5</v>
      </c>
    </row>
    <row r="507" spans="1:13" x14ac:dyDescent="0.25">
      <c r="A507" t="s">
        <v>978</v>
      </c>
      <c r="B507" t="s">
        <v>979</v>
      </c>
      <c r="C507">
        <v>52</v>
      </c>
      <c r="D507" t="s">
        <v>13</v>
      </c>
      <c r="E507" s="2">
        <v>45486</v>
      </c>
      <c r="F507" s="2">
        <v>45490</v>
      </c>
      <c r="G507" t="s">
        <v>32</v>
      </c>
      <c r="H507" t="s">
        <v>54</v>
      </c>
      <c r="I507" s="3">
        <v>5116.62</v>
      </c>
      <c r="J507" s="4">
        <v>90</v>
      </c>
      <c r="K507" t="s">
        <v>26</v>
      </c>
      <c r="L507" t="str" cm="1">
        <f t="array" ref="L507">_xlfn.IFS(C507&lt;18,"under 18",C507&lt;36,"btw 18 &amp; 35",C507&lt;51,"btw 36 &amp;50",C507&lt;66,"btw 51 &amp; 66",C507&gt;66,"66 &amp; above")</f>
        <v>btw 51 &amp; 66</v>
      </c>
      <c r="M507">
        <f t="shared" si="8"/>
        <v>4</v>
      </c>
    </row>
    <row r="508" spans="1:13" x14ac:dyDescent="0.25">
      <c r="A508" t="s">
        <v>980</v>
      </c>
      <c r="B508" t="s">
        <v>627</v>
      </c>
      <c r="C508">
        <v>29</v>
      </c>
      <c r="D508" t="s">
        <v>19</v>
      </c>
      <c r="E508" s="2">
        <v>45510</v>
      </c>
      <c r="F508" s="2">
        <v>45517</v>
      </c>
      <c r="G508" t="s">
        <v>61</v>
      </c>
      <c r="H508" t="s">
        <v>98</v>
      </c>
      <c r="I508" s="3">
        <v>11957.78</v>
      </c>
      <c r="J508" s="4">
        <v>80</v>
      </c>
      <c r="K508" t="s">
        <v>21</v>
      </c>
      <c r="L508" t="str" cm="1">
        <f t="array" ref="L508">_xlfn.IFS(C508&lt;18,"under 18",C508&lt;36,"btw 18 &amp; 35",C508&lt;51,"btw 36 &amp;50",C508&lt;66,"btw 51 &amp; 66",C508&gt;66,"66 &amp; above")</f>
        <v>btw 18 &amp; 35</v>
      </c>
      <c r="M508">
        <f t="shared" si="8"/>
        <v>7</v>
      </c>
    </row>
    <row r="509" spans="1:13" x14ac:dyDescent="0.25">
      <c r="A509" t="s">
        <v>981</v>
      </c>
      <c r="B509" t="s">
        <v>137</v>
      </c>
      <c r="C509">
        <v>76</v>
      </c>
      <c r="D509" t="s">
        <v>19</v>
      </c>
      <c r="E509" s="2">
        <v>45525</v>
      </c>
      <c r="F509" s="2">
        <v>45526</v>
      </c>
      <c r="G509" t="s">
        <v>24</v>
      </c>
      <c r="H509" t="s">
        <v>29</v>
      </c>
      <c r="I509" s="3">
        <v>2237.66</v>
      </c>
      <c r="J509" s="4">
        <v>80</v>
      </c>
      <c r="K509" t="s">
        <v>16</v>
      </c>
      <c r="L509" t="str" cm="1">
        <f t="array" ref="L509">_xlfn.IFS(C509&lt;18,"under 18",C509&lt;36,"btw 18 &amp; 35",C509&lt;51,"btw 36 &amp;50",C509&lt;66,"btw 51 &amp; 66",C509&gt;66,"66 &amp; above")</f>
        <v>66 &amp; above</v>
      </c>
      <c r="M509">
        <f t="shared" si="8"/>
        <v>1</v>
      </c>
    </row>
    <row r="510" spans="1:13" x14ac:dyDescent="0.25">
      <c r="A510" t="s">
        <v>982</v>
      </c>
      <c r="B510" t="s">
        <v>983</v>
      </c>
      <c r="C510">
        <v>29</v>
      </c>
      <c r="D510" t="s">
        <v>13</v>
      </c>
      <c r="E510" s="2">
        <v>45856</v>
      </c>
      <c r="F510" s="2">
        <v>45857</v>
      </c>
      <c r="G510" t="s">
        <v>32</v>
      </c>
      <c r="H510" t="s">
        <v>45</v>
      </c>
      <c r="I510" s="3">
        <v>912.18</v>
      </c>
      <c r="J510" s="4">
        <v>50</v>
      </c>
      <c r="K510" t="s">
        <v>21</v>
      </c>
      <c r="L510" t="str" cm="1">
        <f t="array" ref="L510">_xlfn.IFS(C510&lt;18,"under 18",C510&lt;36,"btw 18 &amp; 35",C510&lt;51,"btw 36 &amp;50",C510&lt;66,"btw 51 &amp; 66",C510&gt;66,"66 &amp; above")</f>
        <v>btw 18 &amp; 35</v>
      </c>
      <c r="M510">
        <f t="shared" si="8"/>
        <v>1</v>
      </c>
    </row>
    <row r="511" spans="1:13" x14ac:dyDescent="0.25">
      <c r="A511" t="s">
        <v>984</v>
      </c>
      <c r="B511" t="s">
        <v>985</v>
      </c>
      <c r="C511">
        <v>63</v>
      </c>
      <c r="D511" t="s">
        <v>19</v>
      </c>
      <c r="E511" s="2">
        <v>45666</v>
      </c>
      <c r="F511" s="2">
        <v>45667</v>
      </c>
      <c r="G511" t="s">
        <v>24</v>
      </c>
      <c r="H511" t="s">
        <v>42</v>
      </c>
      <c r="I511" s="3">
        <v>2435.08</v>
      </c>
      <c r="J511" s="4">
        <v>60</v>
      </c>
      <c r="K511" t="s">
        <v>26</v>
      </c>
      <c r="L511" t="str" cm="1">
        <f t="array" ref="L511">_xlfn.IFS(C511&lt;18,"under 18",C511&lt;36,"btw 18 &amp; 35",C511&lt;51,"btw 36 &amp;50",C511&lt;66,"btw 51 &amp; 66",C511&gt;66,"66 &amp; above")</f>
        <v>btw 51 &amp; 66</v>
      </c>
      <c r="M511">
        <f t="shared" si="8"/>
        <v>1</v>
      </c>
    </row>
    <row r="512" spans="1:13" x14ac:dyDescent="0.25">
      <c r="A512" t="s">
        <v>986</v>
      </c>
      <c r="B512" t="s">
        <v>77</v>
      </c>
      <c r="C512">
        <v>55</v>
      </c>
      <c r="D512" t="s">
        <v>13</v>
      </c>
      <c r="E512" s="2">
        <v>45328</v>
      </c>
      <c r="F512" s="2">
        <v>45340</v>
      </c>
      <c r="G512" t="s">
        <v>61</v>
      </c>
      <c r="H512" t="s">
        <v>143</v>
      </c>
      <c r="I512" s="3">
        <v>26103.65</v>
      </c>
      <c r="J512" s="4">
        <v>60</v>
      </c>
      <c r="K512" t="s">
        <v>26</v>
      </c>
      <c r="L512" t="str" cm="1">
        <f t="array" ref="L512">_xlfn.IFS(C512&lt;18,"under 18",C512&lt;36,"btw 18 &amp; 35",C512&lt;51,"btw 36 &amp;50",C512&lt;66,"btw 51 &amp; 66",C512&gt;66,"66 &amp; above")</f>
        <v>btw 51 &amp; 66</v>
      </c>
      <c r="M512">
        <f t="shared" si="8"/>
        <v>12</v>
      </c>
    </row>
    <row r="513" spans="1:13" x14ac:dyDescent="0.25">
      <c r="A513" t="s">
        <v>987</v>
      </c>
      <c r="B513" t="s">
        <v>988</v>
      </c>
      <c r="C513">
        <v>6</v>
      </c>
      <c r="D513" t="s">
        <v>13</v>
      </c>
      <c r="E513" s="2">
        <v>45695</v>
      </c>
      <c r="F513" s="2">
        <v>45696</v>
      </c>
      <c r="G513" t="s">
        <v>50</v>
      </c>
      <c r="H513" t="s">
        <v>51</v>
      </c>
      <c r="I513" s="3">
        <v>762.87</v>
      </c>
      <c r="J513" s="4">
        <v>80</v>
      </c>
      <c r="K513" t="s">
        <v>16</v>
      </c>
      <c r="L513" t="str" cm="1">
        <f t="array" ref="L513">_xlfn.IFS(C513&lt;18,"under 18",C513&lt;36,"btw 18 &amp; 35",C513&lt;51,"btw 36 &amp;50",C513&lt;66,"btw 51 &amp; 66",C513&gt;66,"66 &amp; above")</f>
        <v>under 18</v>
      </c>
      <c r="M513">
        <f t="shared" si="8"/>
        <v>1</v>
      </c>
    </row>
    <row r="514" spans="1:13" x14ac:dyDescent="0.25">
      <c r="A514" t="s">
        <v>989</v>
      </c>
      <c r="B514" t="s">
        <v>990</v>
      </c>
      <c r="C514">
        <v>15</v>
      </c>
      <c r="D514" t="s">
        <v>19</v>
      </c>
      <c r="E514" s="2">
        <v>45945</v>
      </c>
      <c r="F514" s="2">
        <v>45946</v>
      </c>
      <c r="G514" t="s">
        <v>50</v>
      </c>
      <c r="H514" t="s">
        <v>121</v>
      </c>
      <c r="I514" s="3">
        <v>653.57000000000005</v>
      </c>
      <c r="J514" s="4">
        <v>70</v>
      </c>
      <c r="K514" t="s">
        <v>21</v>
      </c>
      <c r="L514" t="str" cm="1">
        <f t="array" ref="L514">_xlfn.IFS(C514&lt;18,"under 18",C514&lt;36,"btw 18 &amp; 35",C514&lt;51,"btw 36 &amp;50",C514&lt;66,"btw 51 &amp; 66",C514&gt;66,"66 &amp; above")</f>
        <v>under 18</v>
      </c>
      <c r="M514">
        <f t="shared" si="8"/>
        <v>1</v>
      </c>
    </row>
    <row r="515" spans="1:13" x14ac:dyDescent="0.25">
      <c r="A515" t="s">
        <v>991</v>
      </c>
      <c r="B515" t="s">
        <v>467</v>
      </c>
      <c r="C515">
        <v>60</v>
      </c>
      <c r="D515" t="s">
        <v>19</v>
      </c>
      <c r="E515" s="2">
        <v>46015</v>
      </c>
      <c r="F515" s="2">
        <v>46018</v>
      </c>
      <c r="G515" t="s">
        <v>61</v>
      </c>
      <c r="H515" t="s">
        <v>98</v>
      </c>
      <c r="I515" s="3">
        <v>7007.11</v>
      </c>
      <c r="J515" s="4">
        <v>80</v>
      </c>
      <c r="K515" t="s">
        <v>16</v>
      </c>
      <c r="L515" t="str" cm="1">
        <f t="array" ref="L515">_xlfn.IFS(C515&lt;18,"under 18",C515&lt;36,"btw 18 &amp; 35",C515&lt;51,"btw 36 &amp;50",C515&lt;66,"btw 51 &amp; 66",C515&gt;66,"66 &amp; above")</f>
        <v>btw 51 &amp; 66</v>
      </c>
      <c r="M515">
        <f t="shared" ref="M515:M578" si="9">AVERAGE(F515-E515)</f>
        <v>3</v>
      </c>
    </row>
    <row r="516" spans="1:13" x14ac:dyDescent="0.25">
      <c r="A516" t="s">
        <v>992</v>
      </c>
      <c r="B516" t="s">
        <v>993</v>
      </c>
      <c r="C516">
        <v>66</v>
      </c>
      <c r="D516" t="s">
        <v>13</v>
      </c>
      <c r="E516" s="2">
        <v>45792</v>
      </c>
      <c r="F516" s="2">
        <v>45799</v>
      </c>
      <c r="G516" t="s">
        <v>32</v>
      </c>
      <c r="H516" t="s">
        <v>45</v>
      </c>
      <c r="I516" s="3">
        <v>9641.39</v>
      </c>
      <c r="J516" s="4">
        <v>80</v>
      </c>
      <c r="K516" t="s">
        <v>16</v>
      </c>
      <c r="L516" t="e" cm="1">
        <f t="array" ref="L516">_xlfn.IFS(C516&lt;18,"under 18",C516&lt;36,"btw 18 &amp; 35",C516&lt;51,"btw 36 &amp;50",C516&lt;66,"btw 51 &amp; 66",C516&gt;66,"66 &amp; above")</f>
        <v>#N/A</v>
      </c>
      <c r="M516">
        <f t="shared" si="9"/>
        <v>7</v>
      </c>
    </row>
    <row r="517" spans="1:13" x14ac:dyDescent="0.25">
      <c r="A517" t="s">
        <v>994</v>
      </c>
      <c r="B517" t="s">
        <v>995</v>
      </c>
      <c r="C517">
        <v>41</v>
      </c>
      <c r="D517" t="s">
        <v>19</v>
      </c>
      <c r="E517" s="2">
        <v>45748</v>
      </c>
      <c r="F517" s="2">
        <v>45758</v>
      </c>
      <c r="G517" t="s">
        <v>61</v>
      </c>
      <c r="H517" t="s">
        <v>98</v>
      </c>
      <c r="I517" s="3">
        <v>20277.68</v>
      </c>
      <c r="J517" s="4">
        <v>60</v>
      </c>
      <c r="K517" t="s">
        <v>21</v>
      </c>
      <c r="L517" t="str" cm="1">
        <f t="array" ref="L517">_xlfn.IFS(C517&lt;18,"under 18",C517&lt;36,"btw 18 &amp; 35",C517&lt;51,"btw 36 &amp;50",C517&lt;66,"btw 51 &amp; 66",C517&gt;66,"66 &amp; above")</f>
        <v>btw 36 &amp;50</v>
      </c>
      <c r="M517">
        <f t="shared" si="9"/>
        <v>10</v>
      </c>
    </row>
    <row r="518" spans="1:13" x14ac:dyDescent="0.25">
      <c r="A518" t="s">
        <v>996</v>
      </c>
      <c r="B518" t="s">
        <v>997</v>
      </c>
      <c r="C518">
        <v>56</v>
      </c>
      <c r="D518" t="s">
        <v>19</v>
      </c>
      <c r="E518" s="2">
        <v>45950</v>
      </c>
      <c r="F518" s="2">
        <v>45957</v>
      </c>
      <c r="G518" t="s">
        <v>14</v>
      </c>
      <c r="H518" t="s">
        <v>112</v>
      </c>
      <c r="I518" s="3">
        <v>10406.790000000001</v>
      </c>
      <c r="J518" s="4">
        <v>70</v>
      </c>
      <c r="K518" t="s">
        <v>21</v>
      </c>
      <c r="L518" t="str" cm="1">
        <f t="array" ref="L518">_xlfn.IFS(C518&lt;18,"under 18",C518&lt;36,"btw 18 &amp; 35",C518&lt;51,"btw 36 &amp;50",C518&lt;66,"btw 51 &amp; 66",C518&gt;66,"66 &amp; above")</f>
        <v>btw 51 &amp; 66</v>
      </c>
      <c r="M518">
        <f t="shared" si="9"/>
        <v>7</v>
      </c>
    </row>
    <row r="519" spans="1:13" x14ac:dyDescent="0.25">
      <c r="A519" t="s">
        <v>998</v>
      </c>
      <c r="B519" t="s">
        <v>999</v>
      </c>
      <c r="C519">
        <v>25</v>
      </c>
      <c r="D519" t="s">
        <v>13</v>
      </c>
      <c r="E519" s="2">
        <v>45768</v>
      </c>
      <c r="F519" s="2">
        <v>45771</v>
      </c>
      <c r="G519" t="s">
        <v>24</v>
      </c>
      <c r="H519" t="s">
        <v>334</v>
      </c>
      <c r="I519" s="3">
        <v>5735.73</v>
      </c>
      <c r="J519" s="4">
        <v>80</v>
      </c>
      <c r="K519" t="s">
        <v>21</v>
      </c>
      <c r="L519" t="str" cm="1">
        <f t="array" ref="L519">_xlfn.IFS(C519&lt;18,"under 18",C519&lt;36,"btw 18 &amp; 35",C519&lt;51,"btw 36 &amp;50",C519&lt;66,"btw 51 &amp; 66",C519&gt;66,"66 &amp; above")</f>
        <v>btw 18 &amp; 35</v>
      </c>
      <c r="M519">
        <f t="shared" si="9"/>
        <v>3</v>
      </c>
    </row>
    <row r="520" spans="1:13" x14ac:dyDescent="0.25">
      <c r="A520" t="s">
        <v>1000</v>
      </c>
      <c r="B520" t="s">
        <v>707</v>
      </c>
      <c r="C520">
        <v>38</v>
      </c>
      <c r="D520" t="s">
        <v>13</v>
      </c>
      <c r="E520" s="2">
        <v>45479</v>
      </c>
      <c r="F520" s="2">
        <v>45482</v>
      </c>
      <c r="G520" t="s">
        <v>32</v>
      </c>
      <c r="H520" t="s">
        <v>54</v>
      </c>
      <c r="I520" s="3">
        <v>4420.13</v>
      </c>
      <c r="J520" s="4">
        <v>90</v>
      </c>
      <c r="K520" t="s">
        <v>16</v>
      </c>
      <c r="L520" t="str" cm="1">
        <f t="array" ref="L520">_xlfn.IFS(C520&lt;18,"under 18",C520&lt;36,"btw 18 &amp; 35",C520&lt;51,"btw 36 &amp;50",C520&lt;66,"btw 51 &amp; 66",C520&gt;66,"66 &amp; above")</f>
        <v>btw 36 &amp;50</v>
      </c>
      <c r="M520">
        <f t="shared" si="9"/>
        <v>3</v>
      </c>
    </row>
    <row r="521" spans="1:13" x14ac:dyDescent="0.25">
      <c r="A521" t="s">
        <v>1001</v>
      </c>
      <c r="B521" t="s">
        <v>1002</v>
      </c>
      <c r="C521">
        <v>56</v>
      </c>
      <c r="D521" t="s">
        <v>19</v>
      </c>
      <c r="E521" s="2">
        <v>45888</v>
      </c>
      <c r="F521" s="2">
        <v>45894</v>
      </c>
      <c r="G521" t="s">
        <v>32</v>
      </c>
      <c r="H521" t="s">
        <v>115</v>
      </c>
      <c r="I521" s="3">
        <v>4034.24</v>
      </c>
      <c r="J521" s="4">
        <v>90</v>
      </c>
      <c r="K521" t="s">
        <v>21</v>
      </c>
      <c r="L521" t="str" cm="1">
        <f t="array" ref="L521">_xlfn.IFS(C521&lt;18,"under 18",C521&lt;36,"btw 18 &amp; 35",C521&lt;51,"btw 36 &amp;50",C521&lt;66,"btw 51 &amp; 66",C521&gt;66,"66 &amp; above")</f>
        <v>btw 51 &amp; 66</v>
      </c>
      <c r="M521">
        <f t="shared" si="9"/>
        <v>6</v>
      </c>
    </row>
    <row r="522" spans="1:13" x14ac:dyDescent="0.25">
      <c r="A522" t="s">
        <v>1003</v>
      </c>
      <c r="B522" t="s">
        <v>1004</v>
      </c>
      <c r="C522">
        <v>53</v>
      </c>
      <c r="D522" t="s">
        <v>13</v>
      </c>
      <c r="E522" s="2">
        <v>45681</v>
      </c>
      <c r="F522" s="2">
        <v>45692</v>
      </c>
      <c r="G522" t="s">
        <v>71</v>
      </c>
      <c r="H522" t="s">
        <v>72</v>
      </c>
      <c r="I522" s="3">
        <v>18224.23</v>
      </c>
      <c r="J522" s="4">
        <v>80</v>
      </c>
      <c r="K522" t="s">
        <v>16</v>
      </c>
      <c r="L522" t="str" cm="1">
        <f t="array" ref="L522">_xlfn.IFS(C522&lt;18,"under 18",C522&lt;36,"btw 18 &amp; 35",C522&lt;51,"btw 36 &amp;50",C522&lt;66,"btw 51 &amp; 66",C522&gt;66,"66 &amp; above")</f>
        <v>btw 51 &amp; 66</v>
      </c>
      <c r="M522">
        <f t="shared" si="9"/>
        <v>11</v>
      </c>
    </row>
    <row r="523" spans="1:13" x14ac:dyDescent="0.25">
      <c r="A523" t="s">
        <v>1005</v>
      </c>
      <c r="B523" t="s">
        <v>1006</v>
      </c>
      <c r="C523">
        <v>21</v>
      </c>
      <c r="D523" t="s">
        <v>13</v>
      </c>
      <c r="E523" s="2">
        <v>45495</v>
      </c>
      <c r="F523" s="2">
        <v>45502</v>
      </c>
      <c r="G523" t="s">
        <v>32</v>
      </c>
      <c r="H523" t="s">
        <v>115</v>
      </c>
      <c r="I523" s="3">
        <v>4562.96</v>
      </c>
      <c r="J523" s="4">
        <v>90</v>
      </c>
      <c r="K523" t="s">
        <v>16</v>
      </c>
      <c r="L523" t="str" cm="1">
        <f t="array" ref="L523">_xlfn.IFS(C523&lt;18,"under 18",C523&lt;36,"btw 18 &amp; 35",C523&lt;51,"btw 36 &amp;50",C523&lt;66,"btw 51 &amp; 66",C523&gt;66,"66 &amp; above")</f>
        <v>btw 18 &amp; 35</v>
      </c>
      <c r="M523">
        <f t="shared" si="9"/>
        <v>7</v>
      </c>
    </row>
    <row r="524" spans="1:13" x14ac:dyDescent="0.25">
      <c r="A524" t="s">
        <v>1007</v>
      </c>
      <c r="B524" t="s">
        <v>240</v>
      </c>
      <c r="C524">
        <v>1</v>
      </c>
      <c r="D524" t="s">
        <v>13</v>
      </c>
      <c r="E524" s="2">
        <v>45596</v>
      </c>
      <c r="F524" s="2">
        <v>45601</v>
      </c>
      <c r="G524" t="s">
        <v>50</v>
      </c>
      <c r="H524" t="s">
        <v>121</v>
      </c>
      <c r="I524" s="3">
        <v>7560.63</v>
      </c>
      <c r="J524" s="4">
        <v>0</v>
      </c>
      <c r="K524" t="s">
        <v>16</v>
      </c>
      <c r="L524" t="str" cm="1">
        <f t="array" ref="L524">_xlfn.IFS(C524&lt;18,"under 18",C524&lt;36,"btw 18 &amp; 35",C524&lt;51,"btw 36 &amp;50",C524&lt;66,"btw 51 &amp; 66",C524&gt;66,"66 &amp; above")</f>
        <v>under 18</v>
      </c>
      <c r="M524">
        <f t="shared" si="9"/>
        <v>5</v>
      </c>
    </row>
    <row r="525" spans="1:13" x14ac:dyDescent="0.25">
      <c r="A525" t="s">
        <v>1008</v>
      </c>
      <c r="B525" t="s">
        <v>713</v>
      </c>
      <c r="C525">
        <v>21</v>
      </c>
      <c r="D525" t="s">
        <v>19</v>
      </c>
      <c r="E525" s="2">
        <v>45853</v>
      </c>
      <c r="F525" s="2">
        <v>45854</v>
      </c>
      <c r="G525" t="s">
        <v>32</v>
      </c>
      <c r="H525" t="s">
        <v>45</v>
      </c>
      <c r="I525" s="3">
        <v>605</v>
      </c>
      <c r="J525" s="4">
        <v>80</v>
      </c>
      <c r="K525" t="s">
        <v>16</v>
      </c>
      <c r="L525" t="str" cm="1">
        <f t="array" ref="L525">_xlfn.IFS(C525&lt;18,"under 18",C525&lt;36,"btw 18 &amp; 35",C525&lt;51,"btw 36 &amp;50",C525&lt;66,"btw 51 &amp; 66",C525&gt;66,"66 &amp; above")</f>
        <v>btw 18 &amp; 35</v>
      </c>
      <c r="M525">
        <f t="shared" si="9"/>
        <v>1</v>
      </c>
    </row>
    <row r="526" spans="1:13" x14ac:dyDescent="0.25">
      <c r="A526" t="s">
        <v>1009</v>
      </c>
      <c r="B526" t="s">
        <v>1010</v>
      </c>
      <c r="C526">
        <v>77</v>
      </c>
      <c r="D526" t="s">
        <v>19</v>
      </c>
      <c r="E526" s="2">
        <v>45682</v>
      </c>
      <c r="F526" s="2">
        <v>45683</v>
      </c>
      <c r="G526" t="s">
        <v>24</v>
      </c>
      <c r="H526" t="s">
        <v>205</v>
      </c>
      <c r="I526" s="3">
        <v>899.35</v>
      </c>
      <c r="J526" s="4">
        <v>70</v>
      </c>
      <c r="K526" t="s">
        <v>21</v>
      </c>
      <c r="L526" t="str" cm="1">
        <f t="array" ref="L526">_xlfn.IFS(C526&lt;18,"under 18",C526&lt;36,"btw 18 &amp; 35",C526&lt;51,"btw 36 &amp;50",C526&lt;66,"btw 51 &amp; 66",C526&gt;66,"66 &amp; above")</f>
        <v>66 &amp; above</v>
      </c>
      <c r="M526">
        <f t="shared" si="9"/>
        <v>1</v>
      </c>
    </row>
    <row r="527" spans="1:13" x14ac:dyDescent="0.25">
      <c r="A527" t="s">
        <v>1011</v>
      </c>
      <c r="B527" t="s">
        <v>1012</v>
      </c>
      <c r="C527">
        <v>54</v>
      </c>
      <c r="D527" t="s">
        <v>13</v>
      </c>
      <c r="E527" s="2">
        <v>45350</v>
      </c>
      <c r="F527" s="2">
        <v>45355</v>
      </c>
      <c r="G527" t="s">
        <v>14</v>
      </c>
      <c r="H527" t="s">
        <v>15</v>
      </c>
      <c r="I527" s="3">
        <v>13642.77</v>
      </c>
      <c r="J527" s="4">
        <v>80</v>
      </c>
      <c r="K527" t="s">
        <v>26</v>
      </c>
      <c r="L527" t="str" cm="1">
        <f t="array" ref="L527">_xlfn.IFS(C527&lt;18,"under 18",C527&lt;36,"btw 18 &amp; 35",C527&lt;51,"btw 36 &amp;50",C527&lt;66,"btw 51 &amp; 66",C527&gt;66,"66 &amp; above")</f>
        <v>btw 51 &amp; 66</v>
      </c>
      <c r="M527">
        <f t="shared" si="9"/>
        <v>5</v>
      </c>
    </row>
    <row r="528" spans="1:13" x14ac:dyDescent="0.25">
      <c r="A528" t="s">
        <v>1013</v>
      </c>
      <c r="B528" t="s">
        <v>479</v>
      </c>
      <c r="C528">
        <v>49</v>
      </c>
      <c r="D528" t="s">
        <v>19</v>
      </c>
      <c r="E528" s="2">
        <v>45543</v>
      </c>
      <c r="F528" s="2">
        <v>45544</v>
      </c>
      <c r="G528" t="s">
        <v>32</v>
      </c>
      <c r="H528" t="s">
        <v>88</v>
      </c>
      <c r="I528" s="3">
        <v>1419.55</v>
      </c>
      <c r="J528" s="4">
        <v>90</v>
      </c>
      <c r="K528" t="s">
        <v>26</v>
      </c>
      <c r="L528" t="str" cm="1">
        <f t="array" ref="L528">_xlfn.IFS(C528&lt;18,"under 18",C528&lt;36,"btw 18 &amp; 35",C528&lt;51,"btw 36 &amp;50",C528&lt;66,"btw 51 &amp; 66",C528&gt;66,"66 &amp; above")</f>
        <v>btw 36 &amp;50</v>
      </c>
      <c r="M528">
        <f t="shared" si="9"/>
        <v>1</v>
      </c>
    </row>
    <row r="529" spans="1:13" x14ac:dyDescent="0.25">
      <c r="A529" t="s">
        <v>1014</v>
      </c>
      <c r="B529" t="s">
        <v>1015</v>
      </c>
      <c r="C529">
        <v>74</v>
      </c>
      <c r="D529" t="s">
        <v>13</v>
      </c>
      <c r="E529" s="2">
        <v>45908</v>
      </c>
      <c r="F529" s="2">
        <v>45913</v>
      </c>
      <c r="G529" t="s">
        <v>32</v>
      </c>
      <c r="H529" t="s">
        <v>33</v>
      </c>
      <c r="I529" s="3">
        <v>4915.01</v>
      </c>
      <c r="J529" s="4">
        <v>90</v>
      </c>
      <c r="K529" t="s">
        <v>16</v>
      </c>
      <c r="L529" t="str" cm="1">
        <f t="array" ref="L529">_xlfn.IFS(C529&lt;18,"under 18",C529&lt;36,"btw 18 &amp; 35",C529&lt;51,"btw 36 &amp;50",C529&lt;66,"btw 51 &amp; 66",C529&gt;66,"66 &amp; above")</f>
        <v>66 &amp; above</v>
      </c>
      <c r="M529">
        <f t="shared" si="9"/>
        <v>5</v>
      </c>
    </row>
    <row r="530" spans="1:13" x14ac:dyDescent="0.25">
      <c r="A530" t="s">
        <v>1016</v>
      </c>
      <c r="B530" t="s">
        <v>1017</v>
      </c>
      <c r="C530">
        <v>24</v>
      </c>
      <c r="D530" t="s">
        <v>19</v>
      </c>
      <c r="E530" s="2">
        <v>45451</v>
      </c>
      <c r="F530" s="2">
        <v>45452</v>
      </c>
      <c r="G530" t="s">
        <v>32</v>
      </c>
      <c r="H530" t="s">
        <v>115</v>
      </c>
      <c r="I530" s="3">
        <v>879.73</v>
      </c>
      <c r="J530" s="4">
        <v>80</v>
      </c>
      <c r="K530" t="s">
        <v>16</v>
      </c>
      <c r="L530" t="str" cm="1">
        <f t="array" ref="L530">_xlfn.IFS(C530&lt;18,"under 18",C530&lt;36,"btw 18 &amp; 35",C530&lt;51,"btw 36 &amp;50",C530&lt;66,"btw 51 &amp; 66",C530&gt;66,"66 &amp; above")</f>
        <v>btw 18 &amp; 35</v>
      </c>
      <c r="M530">
        <f t="shared" si="9"/>
        <v>1</v>
      </c>
    </row>
    <row r="531" spans="1:13" x14ac:dyDescent="0.25">
      <c r="A531" t="s">
        <v>1018</v>
      </c>
      <c r="B531" t="s">
        <v>1019</v>
      </c>
      <c r="C531">
        <v>78</v>
      </c>
      <c r="D531" t="s">
        <v>19</v>
      </c>
      <c r="E531" s="2">
        <v>45496</v>
      </c>
      <c r="F531" s="2">
        <v>45499</v>
      </c>
      <c r="G531" t="s">
        <v>24</v>
      </c>
      <c r="H531" t="s">
        <v>29</v>
      </c>
      <c r="I531" s="3">
        <v>4924.09</v>
      </c>
      <c r="J531" s="4">
        <v>70</v>
      </c>
      <c r="K531" t="s">
        <v>16</v>
      </c>
      <c r="L531" t="str" cm="1">
        <f t="array" ref="L531">_xlfn.IFS(C531&lt;18,"under 18",C531&lt;36,"btw 18 &amp; 35",C531&lt;51,"btw 36 &amp;50",C531&lt;66,"btw 51 &amp; 66",C531&gt;66,"66 &amp; above")</f>
        <v>66 &amp; above</v>
      </c>
      <c r="M531">
        <f t="shared" si="9"/>
        <v>3</v>
      </c>
    </row>
    <row r="532" spans="1:13" x14ac:dyDescent="0.25">
      <c r="A532" t="s">
        <v>1020</v>
      </c>
      <c r="B532" t="s">
        <v>747</v>
      </c>
      <c r="C532">
        <v>34</v>
      </c>
      <c r="D532" t="s">
        <v>13</v>
      </c>
      <c r="E532" s="2">
        <v>45963</v>
      </c>
      <c r="F532" s="2">
        <v>45973</v>
      </c>
      <c r="G532" t="s">
        <v>61</v>
      </c>
      <c r="H532" t="s">
        <v>62</v>
      </c>
      <c r="I532" s="3">
        <v>13077.22</v>
      </c>
      <c r="J532" s="4">
        <v>60</v>
      </c>
      <c r="K532" t="s">
        <v>26</v>
      </c>
      <c r="L532" t="str" cm="1">
        <f t="array" ref="L532">_xlfn.IFS(C532&lt;18,"under 18",C532&lt;36,"btw 18 &amp; 35",C532&lt;51,"btw 36 &amp;50",C532&lt;66,"btw 51 &amp; 66",C532&gt;66,"66 &amp; above")</f>
        <v>btw 18 &amp; 35</v>
      </c>
      <c r="M532">
        <f t="shared" si="9"/>
        <v>10</v>
      </c>
    </row>
    <row r="533" spans="1:13" x14ac:dyDescent="0.25">
      <c r="A533" t="s">
        <v>1021</v>
      </c>
      <c r="B533" t="s">
        <v>491</v>
      </c>
      <c r="C533">
        <v>45</v>
      </c>
      <c r="D533" t="s">
        <v>13</v>
      </c>
      <c r="E533" s="2">
        <v>45941</v>
      </c>
      <c r="F533" s="2">
        <v>45948</v>
      </c>
      <c r="G533" t="s">
        <v>32</v>
      </c>
      <c r="H533" t="s">
        <v>45</v>
      </c>
      <c r="I533" s="3">
        <v>5438.75</v>
      </c>
      <c r="J533" s="4">
        <v>80</v>
      </c>
      <c r="K533" t="s">
        <v>16</v>
      </c>
      <c r="L533" t="str" cm="1">
        <f t="array" ref="L533">_xlfn.IFS(C533&lt;18,"under 18",C533&lt;36,"btw 18 &amp; 35",C533&lt;51,"btw 36 &amp;50",C533&lt;66,"btw 51 &amp; 66",C533&gt;66,"66 &amp; above")</f>
        <v>btw 36 &amp;50</v>
      </c>
      <c r="M533">
        <f t="shared" si="9"/>
        <v>7</v>
      </c>
    </row>
    <row r="534" spans="1:13" x14ac:dyDescent="0.25">
      <c r="A534" t="s">
        <v>1022</v>
      </c>
      <c r="B534" t="s">
        <v>1023</v>
      </c>
      <c r="C534">
        <v>59</v>
      </c>
      <c r="D534" t="s">
        <v>19</v>
      </c>
      <c r="E534" s="2">
        <v>45592</v>
      </c>
      <c r="F534" s="2">
        <v>45600</v>
      </c>
      <c r="G534" t="s">
        <v>14</v>
      </c>
      <c r="H534" t="s">
        <v>20</v>
      </c>
      <c r="I534" s="3">
        <v>23659.1</v>
      </c>
      <c r="J534" s="4">
        <v>90</v>
      </c>
      <c r="K534" t="s">
        <v>21</v>
      </c>
      <c r="L534" t="str" cm="1">
        <f t="array" ref="L534">_xlfn.IFS(C534&lt;18,"under 18",C534&lt;36,"btw 18 &amp; 35",C534&lt;51,"btw 36 &amp;50",C534&lt;66,"btw 51 &amp; 66",C534&gt;66,"66 &amp; above")</f>
        <v>btw 51 &amp; 66</v>
      </c>
      <c r="M534">
        <f t="shared" si="9"/>
        <v>8</v>
      </c>
    </row>
    <row r="535" spans="1:13" x14ac:dyDescent="0.25">
      <c r="A535" t="s">
        <v>1024</v>
      </c>
      <c r="B535" t="s">
        <v>1025</v>
      </c>
      <c r="C535">
        <v>80</v>
      </c>
      <c r="D535" t="s">
        <v>13</v>
      </c>
      <c r="E535" s="2">
        <v>45490</v>
      </c>
      <c r="F535" s="2">
        <v>45495</v>
      </c>
      <c r="G535" t="s">
        <v>14</v>
      </c>
      <c r="H535" t="s">
        <v>166</v>
      </c>
      <c r="I535" s="3">
        <v>10323.56</v>
      </c>
      <c r="J535" s="4">
        <v>70</v>
      </c>
      <c r="K535" t="s">
        <v>16</v>
      </c>
      <c r="L535" t="str" cm="1">
        <f t="array" ref="L535">_xlfn.IFS(C535&lt;18,"under 18",C535&lt;36,"btw 18 &amp; 35",C535&lt;51,"btw 36 &amp;50",C535&lt;66,"btw 51 &amp; 66",C535&gt;66,"66 &amp; above")</f>
        <v>66 &amp; above</v>
      </c>
      <c r="M535">
        <f t="shared" si="9"/>
        <v>5</v>
      </c>
    </row>
    <row r="536" spans="1:13" x14ac:dyDescent="0.25">
      <c r="A536" t="s">
        <v>1026</v>
      </c>
      <c r="B536" t="s">
        <v>1027</v>
      </c>
      <c r="C536">
        <v>53</v>
      </c>
      <c r="D536" t="s">
        <v>13</v>
      </c>
      <c r="E536" s="2">
        <v>45643</v>
      </c>
      <c r="F536" s="2">
        <v>45652</v>
      </c>
      <c r="G536" t="s">
        <v>61</v>
      </c>
      <c r="H536" t="s">
        <v>143</v>
      </c>
      <c r="I536" s="3">
        <v>23629.360000000001</v>
      </c>
      <c r="J536" s="4">
        <v>90</v>
      </c>
      <c r="K536" t="s">
        <v>16</v>
      </c>
      <c r="L536" t="str" cm="1">
        <f t="array" ref="L536">_xlfn.IFS(C536&lt;18,"under 18",C536&lt;36,"btw 18 &amp; 35",C536&lt;51,"btw 36 &amp;50",C536&lt;66,"btw 51 &amp; 66",C536&gt;66,"66 &amp; above")</f>
        <v>btw 51 &amp; 66</v>
      </c>
      <c r="M536">
        <f t="shared" si="9"/>
        <v>9</v>
      </c>
    </row>
    <row r="537" spans="1:13" x14ac:dyDescent="0.25">
      <c r="A537" t="s">
        <v>1028</v>
      </c>
      <c r="B537" t="s">
        <v>1029</v>
      </c>
      <c r="C537">
        <v>65</v>
      </c>
      <c r="D537" t="s">
        <v>13</v>
      </c>
      <c r="E537" s="2">
        <v>45359</v>
      </c>
      <c r="F537" s="2">
        <v>45365</v>
      </c>
      <c r="G537" t="s">
        <v>32</v>
      </c>
      <c r="H537" t="s">
        <v>115</v>
      </c>
      <c r="I537" s="3">
        <v>7474.49</v>
      </c>
      <c r="J537" s="4">
        <v>70</v>
      </c>
      <c r="K537" t="s">
        <v>16</v>
      </c>
      <c r="L537" t="str" cm="1">
        <f t="array" ref="L537">_xlfn.IFS(C537&lt;18,"under 18",C537&lt;36,"btw 18 &amp; 35",C537&lt;51,"btw 36 &amp;50",C537&lt;66,"btw 51 &amp; 66",C537&gt;66,"66 &amp; above")</f>
        <v>btw 51 &amp; 66</v>
      </c>
      <c r="M537">
        <f t="shared" si="9"/>
        <v>6</v>
      </c>
    </row>
    <row r="538" spans="1:13" x14ac:dyDescent="0.25">
      <c r="A538" t="s">
        <v>1030</v>
      </c>
      <c r="B538" t="s">
        <v>1031</v>
      </c>
      <c r="C538">
        <v>46</v>
      </c>
      <c r="D538" t="s">
        <v>19</v>
      </c>
      <c r="E538" s="2">
        <v>45804</v>
      </c>
      <c r="F538" s="2">
        <v>45807</v>
      </c>
      <c r="G538" t="s">
        <v>24</v>
      </c>
      <c r="H538" t="s">
        <v>222</v>
      </c>
      <c r="I538" s="3">
        <v>6062.52</v>
      </c>
      <c r="J538" s="4">
        <v>90</v>
      </c>
      <c r="K538" t="s">
        <v>16</v>
      </c>
      <c r="L538" t="str" cm="1">
        <f t="array" ref="L538">_xlfn.IFS(C538&lt;18,"under 18",C538&lt;36,"btw 18 &amp; 35",C538&lt;51,"btw 36 &amp;50",C538&lt;66,"btw 51 &amp; 66",C538&gt;66,"66 &amp; above")</f>
        <v>btw 36 &amp;50</v>
      </c>
      <c r="M538">
        <f t="shared" si="9"/>
        <v>3</v>
      </c>
    </row>
    <row r="539" spans="1:13" x14ac:dyDescent="0.25">
      <c r="A539" t="s">
        <v>1032</v>
      </c>
      <c r="B539" t="s">
        <v>1033</v>
      </c>
      <c r="C539">
        <v>19</v>
      </c>
      <c r="D539" t="s">
        <v>19</v>
      </c>
      <c r="E539" s="2">
        <v>45472</v>
      </c>
      <c r="F539" s="2">
        <v>45474</v>
      </c>
      <c r="G539" t="s">
        <v>24</v>
      </c>
      <c r="H539" t="s">
        <v>83</v>
      </c>
      <c r="I539" s="3">
        <v>4748.93</v>
      </c>
      <c r="J539" s="4">
        <v>0</v>
      </c>
      <c r="K539" t="s">
        <v>16</v>
      </c>
      <c r="L539" t="str" cm="1">
        <f t="array" ref="L539">_xlfn.IFS(C539&lt;18,"under 18",C539&lt;36,"btw 18 &amp; 35",C539&lt;51,"btw 36 &amp;50",C539&lt;66,"btw 51 &amp; 66",C539&gt;66,"66 &amp; above")</f>
        <v>btw 18 &amp; 35</v>
      </c>
      <c r="M539">
        <f t="shared" si="9"/>
        <v>2</v>
      </c>
    </row>
    <row r="540" spans="1:13" x14ac:dyDescent="0.25">
      <c r="A540" t="s">
        <v>1034</v>
      </c>
      <c r="B540" t="s">
        <v>1035</v>
      </c>
      <c r="C540">
        <v>12</v>
      </c>
      <c r="D540" t="s">
        <v>13</v>
      </c>
      <c r="E540" s="2">
        <v>45787</v>
      </c>
      <c r="F540" s="2">
        <v>45791</v>
      </c>
      <c r="G540" t="s">
        <v>50</v>
      </c>
      <c r="H540" t="s">
        <v>118</v>
      </c>
      <c r="I540" s="3">
        <v>5993.64</v>
      </c>
      <c r="J540" s="4">
        <v>0</v>
      </c>
      <c r="K540" t="s">
        <v>26</v>
      </c>
      <c r="L540" t="str" cm="1">
        <f t="array" ref="L540">_xlfn.IFS(C540&lt;18,"under 18",C540&lt;36,"btw 18 &amp; 35",C540&lt;51,"btw 36 &amp;50",C540&lt;66,"btw 51 &amp; 66",C540&gt;66,"66 &amp; above")</f>
        <v>under 18</v>
      </c>
      <c r="M540">
        <f t="shared" si="9"/>
        <v>4</v>
      </c>
    </row>
    <row r="541" spans="1:13" x14ac:dyDescent="0.25">
      <c r="A541" t="s">
        <v>1036</v>
      </c>
      <c r="B541" t="s">
        <v>1037</v>
      </c>
      <c r="C541">
        <v>49</v>
      </c>
      <c r="D541" t="s">
        <v>13</v>
      </c>
      <c r="E541" s="2">
        <v>45981</v>
      </c>
      <c r="F541" s="2">
        <v>45983</v>
      </c>
      <c r="G541" t="s">
        <v>32</v>
      </c>
      <c r="H541" t="s">
        <v>45</v>
      </c>
      <c r="I541" s="3">
        <v>1129.2</v>
      </c>
      <c r="J541" s="4">
        <v>80</v>
      </c>
      <c r="K541" t="s">
        <v>16</v>
      </c>
      <c r="L541" t="str" cm="1">
        <f t="array" ref="L541">_xlfn.IFS(C541&lt;18,"under 18",C541&lt;36,"btw 18 &amp; 35",C541&lt;51,"btw 36 &amp;50",C541&lt;66,"btw 51 &amp; 66",C541&gt;66,"66 &amp; above")</f>
        <v>btw 36 &amp;50</v>
      </c>
      <c r="M541">
        <f t="shared" si="9"/>
        <v>2</v>
      </c>
    </row>
    <row r="542" spans="1:13" x14ac:dyDescent="0.25">
      <c r="A542" t="s">
        <v>1038</v>
      </c>
      <c r="B542" t="s">
        <v>627</v>
      </c>
      <c r="C542">
        <v>47</v>
      </c>
      <c r="D542" t="s">
        <v>19</v>
      </c>
      <c r="E542" s="2">
        <v>45417</v>
      </c>
      <c r="F542" s="2">
        <v>45420</v>
      </c>
      <c r="G542" t="s">
        <v>24</v>
      </c>
      <c r="H542" t="s">
        <v>205</v>
      </c>
      <c r="I542" s="3">
        <v>2925.89</v>
      </c>
      <c r="J542" s="4">
        <v>60</v>
      </c>
      <c r="K542" t="s">
        <v>26</v>
      </c>
      <c r="L542" t="str" cm="1">
        <f t="array" ref="L542">_xlfn.IFS(C542&lt;18,"under 18",C542&lt;36,"btw 18 &amp; 35",C542&lt;51,"btw 36 &amp;50",C542&lt;66,"btw 51 &amp; 66",C542&gt;66,"66 &amp; above")</f>
        <v>btw 36 &amp;50</v>
      </c>
      <c r="M542">
        <f t="shared" si="9"/>
        <v>3</v>
      </c>
    </row>
    <row r="543" spans="1:13" x14ac:dyDescent="0.25">
      <c r="A543" t="s">
        <v>1039</v>
      </c>
      <c r="B543" t="s">
        <v>588</v>
      </c>
      <c r="C543">
        <v>60</v>
      </c>
      <c r="D543" t="s">
        <v>19</v>
      </c>
      <c r="E543" s="2">
        <v>45565</v>
      </c>
      <c r="F543" s="2">
        <v>45567</v>
      </c>
      <c r="G543" t="s">
        <v>24</v>
      </c>
      <c r="H543" t="s">
        <v>205</v>
      </c>
      <c r="I543" s="3">
        <v>3791.25</v>
      </c>
      <c r="J543" s="4">
        <v>60</v>
      </c>
      <c r="K543" t="s">
        <v>21</v>
      </c>
      <c r="L543" t="str" cm="1">
        <f t="array" ref="L543">_xlfn.IFS(C543&lt;18,"under 18",C543&lt;36,"btw 18 &amp; 35",C543&lt;51,"btw 36 &amp;50",C543&lt;66,"btw 51 &amp; 66",C543&gt;66,"66 &amp; above")</f>
        <v>btw 51 &amp; 66</v>
      </c>
      <c r="M543">
        <f t="shared" si="9"/>
        <v>2</v>
      </c>
    </row>
    <row r="544" spans="1:13" x14ac:dyDescent="0.25">
      <c r="A544" t="s">
        <v>1040</v>
      </c>
      <c r="B544" t="s">
        <v>1041</v>
      </c>
      <c r="C544">
        <v>39</v>
      </c>
      <c r="D544" t="s">
        <v>19</v>
      </c>
      <c r="E544" s="2">
        <v>45466</v>
      </c>
      <c r="F544" s="2">
        <v>45473</v>
      </c>
      <c r="G544" t="s">
        <v>61</v>
      </c>
      <c r="H544" t="s">
        <v>143</v>
      </c>
      <c r="I544" s="3">
        <v>17536.5</v>
      </c>
      <c r="J544" s="4">
        <v>90</v>
      </c>
      <c r="K544" t="s">
        <v>16</v>
      </c>
      <c r="L544" t="str" cm="1">
        <f t="array" ref="L544">_xlfn.IFS(C544&lt;18,"under 18",C544&lt;36,"btw 18 &amp; 35",C544&lt;51,"btw 36 &amp;50",C544&lt;66,"btw 51 &amp; 66",C544&gt;66,"66 &amp; above")</f>
        <v>btw 36 &amp;50</v>
      </c>
      <c r="M544">
        <f t="shared" si="9"/>
        <v>7</v>
      </c>
    </row>
    <row r="545" spans="1:13" x14ac:dyDescent="0.25">
      <c r="A545" t="s">
        <v>1042</v>
      </c>
      <c r="B545" t="s">
        <v>301</v>
      </c>
      <c r="C545">
        <v>35</v>
      </c>
      <c r="D545" t="s">
        <v>19</v>
      </c>
      <c r="E545" s="2">
        <v>45687</v>
      </c>
      <c r="F545" s="2">
        <v>45691</v>
      </c>
      <c r="G545" t="s">
        <v>32</v>
      </c>
      <c r="H545" t="s">
        <v>33</v>
      </c>
      <c r="I545" s="3">
        <v>2285.7199999999998</v>
      </c>
      <c r="J545" s="4">
        <v>90</v>
      </c>
      <c r="K545" t="s">
        <v>16</v>
      </c>
      <c r="L545" t="str" cm="1">
        <f t="array" ref="L545">_xlfn.IFS(C545&lt;18,"under 18",C545&lt;36,"btw 18 &amp; 35",C545&lt;51,"btw 36 &amp;50",C545&lt;66,"btw 51 &amp; 66",C545&gt;66,"66 &amp; above")</f>
        <v>btw 18 &amp; 35</v>
      </c>
      <c r="M545">
        <f t="shared" si="9"/>
        <v>4</v>
      </c>
    </row>
    <row r="546" spans="1:13" x14ac:dyDescent="0.25">
      <c r="A546" t="s">
        <v>1043</v>
      </c>
      <c r="B546" t="s">
        <v>1044</v>
      </c>
      <c r="C546">
        <v>37</v>
      </c>
      <c r="D546" t="s">
        <v>19</v>
      </c>
      <c r="E546" s="2">
        <v>45304</v>
      </c>
      <c r="F546" s="2">
        <v>45313</v>
      </c>
      <c r="G546" t="s">
        <v>61</v>
      </c>
      <c r="H546" t="s">
        <v>98</v>
      </c>
      <c r="I546" s="3">
        <v>11741.84</v>
      </c>
      <c r="J546" s="4">
        <v>80</v>
      </c>
      <c r="K546" t="s">
        <v>16</v>
      </c>
      <c r="L546" t="str" cm="1">
        <f t="array" ref="L546">_xlfn.IFS(C546&lt;18,"under 18",C546&lt;36,"btw 18 &amp; 35",C546&lt;51,"btw 36 &amp;50",C546&lt;66,"btw 51 &amp; 66",C546&gt;66,"66 &amp; above")</f>
        <v>btw 36 &amp;50</v>
      </c>
      <c r="M546">
        <f t="shared" si="9"/>
        <v>9</v>
      </c>
    </row>
    <row r="547" spans="1:13" x14ac:dyDescent="0.25">
      <c r="A547" t="s">
        <v>1045</v>
      </c>
      <c r="B547" t="s">
        <v>1046</v>
      </c>
      <c r="C547">
        <v>51</v>
      </c>
      <c r="D547" t="s">
        <v>19</v>
      </c>
      <c r="E547" s="2">
        <v>45943</v>
      </c>
      <c r="F547" s="2">
        <v>45951</v>
      </c>
      <c r="G547" t="s">
        <v>14</v>
      </c>
      <c r="H547" t="s">
        <v>39</v>
      </c>
      <c r="I547" s="3">
        <v>17157.7</v>
      </c>
      <c r="J547" s="4">
        <v>80</v>
      </c>
      <c r="K547" t="s">
        <v>21</v>
      </c>
      <c r="L547" t="str" cm="1">
        <f t="array" ref="L547">_xlfn.IFS(C547&lt;18,"under 18",C547&lt;36,"btw 18 &amp; 35",C547&lt;51,"btw 36 &amp;50",C547&lt;66,"btw 51 &amp; 66",C547&gt;66,"66 &amp; above")</f>
        <v>btw 51 &amp; 66</v>
      </c>
      <c r="M547">
        <f t="shared" si="9"/>
        <v>8</v>
      </c>
    </row>
    <row r="548" spans="1:13" x14ac:dyDescent="0.25">
      <c r="A548" t="s">
        <v>1047</v>
      </c>
      <c r="B548" t="s">
        <v>1048</v>
      </c>
      <c r="C548">
        <v>69</v>
      </c>
      <c r="D548" t="s">
        <v>19</v>
      </c>
      <c r="E548" s="2">
        <v>45793</v>
      </c>
      <c r="F548" s="2">
        <v>45794</v>
      </c>
      <c r="G548" t="s">
        <v>32</v>
      </c>
      <c r="H548" t="s">
        <v>235</v>
      </c>
      <c r="I548" s="3">
        <v>1202.17</v>
      </c>
      <c r="J548" s="4">
        <v>0</v>
      </c>
      <c r="K548" t="s">
        <v>26</v>
      </c>
      <c r="L548" t="str" cm="1">
        <f t="array" ref="L548">_xlfn.IFS(C548&lt;18,"under 18",C548&lt;36,"btw 18 &amp; 35",C548&lt;51,"btw 36 &amp;50",C548&lt;66,"btw 51 &amp; 66",C548&gt;66,"66 &amp; above")</f>
        <v>66 &amp; above</v>
      </c>
      <c r="M548">
        <f t="shared" si="9"/>
        <v>1</v>
      </c>
    </row>
    <row r="549" spans="1:13" x14ac:dyDescent="0.25">
      <c r="A549" t="s">
        <v>1049</v>
      </c>
      <c r="B549" t="s">
        <v>1050</v>
      </c>
      <c r="C549">
        <v>10</v>
      </c>
      <c r="D549" t="s">
        <v>13</v>
      </c>
      <c r="E549" s="2">
        <v>45802</v>
      </c>
      <c r="F549" s="2">
        <v>45803</v>
      </c>
      <c r="G549" t="s">
        <v>50</v>
      </c>
      <c r="H549" t="s">
        <v>51</v>
      </c>
      <c r="I549" s="3">
        <v>963.75</v>
      </c>
      <c r="J549" s="4">
        <v>100</v>
      </c>
      <c r="K549" t="s">
        <v>16</v>
      </c>
      <c r="L549" t="str" cm="1">
        <f t="array" ref="L549">_xlfn.IFS(C549&lt;18,"under 18",C549&lt;36,"btw 18 &amp; 35",C549&lt;51,"btw 36 &amp;50",C549&lt;66,"btw 51 &amp; 66",C549&gt;66,"66 &amp; above")</f>
        <v>under 18</v>
      </c>
      <c r="M549">
        <f t="shared" si="9"/>
        <v>1</v>
      </c>
    </row>
    <row r="550" spans="1:13" x14ac:dyDescent="0.25">
      <c r="A550" t="s">
        <v>1051</v>
      </c>
      <c r="B550" t="s">
        <v>1052</v>
      </c>
      <c r="C550">
        <v>5</v>
      </c>
      <c r="D550" t="s">
        <v>13</v>
      </c>
      <c r="E550" s="2">
        <v>45841</v>
      </c>
      <c r="F550" s="2">
        <v>45842</v>
      </c>
      <c r="G550" t="s">
        <v>50</v>
      </c>
      <c r="H550" t="s">
        <v>51</v>
      </c>
      <c r="I550" s="3">
        <v>634.45000000000005</v>
      </c>
      <c r="J550" s="4">
        <v>80</v>
      </c>
      <c r="K550" t="s">
        <v>16</v>
      </c>
      <c r="L550" t="str" cm="1">
        <f t="array" ref="L550">_xlfn.IFS(C550&lt;18,"under 18",C550&lt;36,"btw 18 &amp; 35",C550&lt;51,"btw 36 &amp;50",C550&lt;66,"btw 51 &amp; 66",C550&gt;66,"66 &amp; above")</f>
        <v>under 18</v>
      </c>
      <c r="M550">
        <f t="shared" si="9"/>
        <v>1</v>
      </c>
    </row>
    <row r="551" spans="1:13" x14ac:dyDescent="0.25">
      <c r="A551" t="s">
        <v>1053</v>
      </c>
      <c r="B551" t="s">
        <v>607</v>
      </c>
      <c r="C551">
        <v>67</v>
      </c>
      <c r="D551" t="s">
        <v>13</v>
      </c>
      <c r="E551" s="2">
        <v>45827</v>
      </c>
      <c r="F551" s="2">
        <v>45839</v>
      </c>
      <c r="G551" t="s">
        <v>61</v>
      </c>
      <c r="H551" t="s">
        <v>98</v>
      </c>
      <c r="I551" s="3">
        <v>15003.09</v>
      </c>
      <c r="J551" s="4">
        <v>60</v>
      </c>
      <c r="K551" t="s">
        <v>21</v>
      </c>
      <c r="L551" t="str" cm="1">
        <f t="array" ref="L551">_xlfn.IFS(C551&lt;18,"under 18",C551&lt;36,"btw 18 &amp; 35",C551&lt;51,"btw 36 &amp;50",C551&lt;66,"btw 51 &amp; 66",C551&gt;66,"66 &amp; above")</f>
        <v>66 &amp; above</v>
      </c>
      <c r="M551">
        <f t="shared" si="9"/>
        <v>12</v>
      </c>
    </row>
    <row r="552" spans="1:13" x14ac:dyDescent="0.25">
      <c r="A552" t="s">
        <v>1054</v>
      </c>
      <c r="B552" t="s">
        <v>1055</v>
      </c>
      <c r="C552">
        <v>33</v>
      </c>
      <c r="D552" t="s">
        <v>19</v>
      </c>
      <c r="E552" s="2">
        <v>45520</v>
      </c>
      <c r="F552" s="2">
        <v>45522</v>
      </c>
      <c r="G552" t="s">
        <v>24</v>
      </c>
      <c r="H552" t="s">
        <v>42</v>
      </c>
      <c r="I552" s="3">
        <v>1936.8</v>
      </c>
      <c r="J552" s="4">
        <v>80</v>
      </c>
      <c r="K552" t="s">
        <v>16</v>
      </c>
      <c r="L552" t="str" cm="1">
        <f t="array" ref="L552">_xlfn.IFS(C552&lt;18,"under 18",C552&lt;36,"btw 18 &amp; 35",C552&lt;51,"btw 36 &amp;50",C552&lt;66,"btw 51 &amp; 66",C552&gt;66,"66 &amp; above")</f>
        <v>btw 18 &amp; 35</v>
      </c>
      <c r="M552">
        <f t="shared" si="9"/>
        <v>2</v>
      </c>
    </row>
    <row r="553" spans="1:13" x14ac:dyDescent="0.25">
      <c r="A553" t="s">
        <v>1056</v>
      </c>
      <c r="B553" t="s">
        <v>1033</v>
      </c>
      <c r="C553">
        <v>37</v>
      </c>
      <c r="D553" t="s">
        <v>19</v>
      </c>
      <c r="E553" s="2">
        <v>45736</v>
      </c>
      <c r="F553" s="2">
        <v>45739</v>
      </c>
      <c r="G553" t="s">
        <v>24</v>
      </c>
      <c r="H553" t="s">
        <v>25</v>
      </c>
      <c r="I553" s="3">
        <v>6193.25</v>
      </c>
      <c r="J553" s="4">
        <v>60</v>
      </c>
      <c r="K553" t="s">
        <v>21</v>
      </c>
      <c r="L553" t="str" cm="1">
        <f t="array" ref="L553">_xlfn.IFS(C553&lt;18,"under 18",C553&lt;36,"btw 18 &amp; 35",C553&lt;51,"btw 36 &amp;50",C553&lt;66,"btw 51 &amp; 66",C553&gt;66,"66 &amp; above")</f>
        <v>btw 36 &amp;50</v>
      </c>
      <c r="M553">
        <f t="shared" si="9"/>
        <v>3</v>
      </c>
    </row>
    <row r="554" spans="1:13" x14ac:dyDescent="0.25">
      <c r="A554" t="s">
        <v>1057</v>
      </c>
      <c r="B554" t="s">
        <v>1058</v>
      </c>
      <c r="C554">
        <v>72</v>
      </c>
      <c r="D554" t="s">
        <v>19</v>
      </c>
      <c r="E554" s="2">
        <v>45948</v>
      </c>
      <c r="F554" s="2">
        <v>45955</v>
      </c>
      <c r="G554" t="s">
        <v>61</v>
      </c>
      <c r="H554" t="s">
        <v>62</v>
      </c>
      <c r="I554" s="3">
        <v>11831.06</v>
      </c>
      <c r="J554" s="4">
        <v>80</v>
      </c>
      <c r="K554" t="s">
        <v>26</v>
      </c>
      <c r="L554" t="str" cm="1">
        <f t="array" ref="L554">_xlfn.IFS(C554&lt;18,"under 18",C554&lt;36,"btw 18 &amp; 35",C554&lt;51,"btw 36 &amp;50",C554&lt;66,"btw 51 &amp; 66",C554&gt;66,"66 &amp; above")</f>
        <v>66 &amp; above</v>
      </c>
      <c r="M554">
        <f t="shared" si="9"/>
        <v>7</v>
      </c>
    </row>
    <row r="555" spans="1:13" x14ac:dyDescent="0.25">
      <c r="A555" t="s">
        <v>1059</v>
      </c>
      <c r="B555" t="s">
        <v>1060</v>
      </c>
      <c r="C555">
        <v>75</v>
      </c>
      <c r="D555" t="s">
        <v>13</v>
      </c>
      <c r="E555" s="2">
        <v>45692</v>
      </c>
      <c r="F555" s="2">
        <v>45699</v>
      </c>
      <c r="G555" t="s">
        <v>32</v>
      </c>
      <c r="H555" t="s">
        <v>88</v>
      </c>
      <c r="I555" s="3">
        <v>7790.86</v>
      </c>
      <c r="J555" s="4">
        <v>100</v>
      </c>
      <c r="K555" t="s">
        <v>16</v>
      </c>
      <c r="L555" t="str" cm="1">
        <f t="array" ref="L555">_xlfn.IFS(C555&lt;18,"under 18",C555&lt;36,"btw 18 &amp; 35",C555&lt;51,"btw 36 &amp;50",C555&lt;66,"btw 51 &amp; 66",C555&gt;66,"66 &amp; above")</f>
        <v>66 &amp; above</v>
      </c>
      <c r="M555">
        <f t="shared" si="9"/>
        <v>7</v>
      </c>
    </row>
    <row r="556" spans="1:13" x14ac:dyDescent="0.25">
      <c r="A556" t="s">
        <v>1061</v>
      </c>
      <c r="B556" t="s">
        <v>1062</v>
      </c>
      <c r="C556">
        <v>27</v>
      </c>
      <c r="D556" t="s">
        <v>19</v>
      </c>
      <c r="E556" s="2">
        <v>45981</v>
      </c>
      <c r="F556" s="2">
        <v>45988</v>
      </c>
      <c r="G556" t="s">
        <v>32</v>
      </c>
      <c r="H556" t="s">
        <v>45</v>
      </c>
      <c r="I556" s="3">
        <v>4784.6000000000004</v>
      </c>
      <c r="J556" s="4">
        <v>70</v>
      </c>
      <c r="K556" t="s">
        <v>16</v>
      </c>
      <c r="L556" t="str" cm="1">
        <f t="array" ref="L556">_xlfn.IFS(C556&lt;18,"under 18",C556&lt;36,"btw 18 &amp; 35",C556&lt;51,"btw 36 &amp;50",C556&lt;66,"btw 51 &amp; 66",C556&gt;66,"66 &amp; above")</f>
        <v>btw 18 &amp; 35</v>
      </c>
      <c r="M556">
        <f t="shared" si="9"/>
        <v>7</v>
      </c>
    </row>
    <row r="557" spans="1:13" x14ac:dyDescent="0.25">
      <c r="A557" t="s">
        <v>1063</v>
      </c>
      <c r="B557" t="s">
        <v>1064</v>
      </c>
      <c r="C557">
        <v>60</v>
      </c>
      <c r="D557" t="s">
        <v>13</v>
      </c>
      <c r="E557" s="2">
        <v>45327</v>
      </c>
      <c r="F557" s="2">
        <v>45331</v>
      </c>
      <c r="G557" t="s">
        <v>14</v>
      </c>
      <c r="H557" t="s">
        <v>39</v>
      </c>
      <c r="I557" s="3">
        <v>11688.29</v>
      </c>
      <c r="J557" s="4">
        <v>70</v>
      </c>
      <c r="K557" t="s">
        <v>26</v>
      </c>
      <c r="L557" t="str" cm="1">
        <f t="array" ref="L557">_xlfn.IFS(C557&lt;18,"under 18",C557&lt;36,"btw 18 &amp; 35",C557&lt;51,"btw 36 &amp;50",C557&lt;66,"btw 51 &amp; 66",C557&gt;66,"66 &amp; above")</f>
        <v>btw 51 &amp; 66</v>
      </c>
      <c r="M557">
        <f t="shared" si="9"/>
        <v>4</v>
      </c>
    </row>
    <row r="558" spans="1:13" x14ac:dyDescent="0.25">
      <c r="A558" t="s">
        <v>1065</v>
      </c>
      <c r="B558" t="s">
        <v>1060</v>
      </c>
      <c r="C558">
        <v>42</v>
      </c>
      <c r="D558" t="s">
        <v>13</v>
      </c>
      <c r="E558" s="2">
        <v>45544</v>
      </c>
      <c r="F558" s="2">
        <v>45552</v>
      </c>
      <c r="G558" t="s">
        <v>14</v>
      </c>
      <c r="H558" t="s">
        <v>20</v>
      </c>
      <c r="I558" s="3">
        <v>18692.25</v>
      </c>
      <c r="J558" s="4">
        <v>70</v>
      </c>
      <c r="K558" t="s">
        <v>16</v>
      </c>
      <c r="L558" t="str" cm="1">
        <f t="array" ref="L558">_xlfn.IFS(C558&lt;18,"under 18",C558&lt;36,"btw 18 &amp; 35",C558&lt;51,"btw 36 &amp;50",C558&lt;66,"btw 51 &amp; 66",C558&gt;66,"66 &amp; above")</f>
        <v>btw 36 &amp;50</v>
      </c>
      <c r="M558">
        <f t="shared" si="9"/>
        <v>8</v>
      </c>
    </row>
    <row r="559" spans="1:13" x14ac:dyDescent="0.25">
      <c r="A559" t="s">
        <v>1066</v>
      </c>
      <c r="B559" t="s">
        <v>1067</v>
      </c>
      <c r="C559">
        <v>10</v>
      </c>
      <c r="D559" t="s">
        <v>13</v>
      </c>
      <c r="E559" s="2">
        <v>45443</v>
      </c>
      <c r="F559" s="2">
        <v>45448</v>
      </c>
      <c r="G559" t="s">
        <v>50</v>
      </c>
      <c r="H559" t="s">
        <v>51</v>
      </c>
      <c r="I559" s="3">
        <v>3371.75</v>
      </c>
      <c r="J559" s="4">
        <v>100</v>
      </c>
      <c r="K559" t="s">
        <v>16</v>
      </c>
      <c r="L559" t="str" cm="1">
        <f t="array" ref="L559">_xlfn.IFS(C559&lt;18,"under 18",C559&lt;36,"btw 18 &amp; 35",C559&lt;51,"btw 36 &amp;50",C559&lt;66,"btw 51 &amp; 66",C559&gt;66,"66 &amp; above")</f>
        <v>under 18</v>
      </c>
      <c r="M559">
        <f t="shared" si="9"/>
        <v>5</v>
      </c>
    </row>
    <row r="560" spans="1:13" x14ac:dyDescent="0.25">
      <c r="A560" t="s">
        <v>1068</v>
      </c>
      <c r="B560" t="s">
        <v>857</v>
      </c>
      <c r="C560">
        <v>79</v>
      </c>
      <c r="D560" t="s">
        <v>19</v>
      </c>
      <c r="E560" s="2">
        <v>45516</v>
      </c>
      <c r="F560" s="2">
        <v>45518</v>
      </c>
      <c r="G560" t="s">
        <v>24</v>
      </c>
      <c r="H560" t="s">
        <v>29</v>
      </c>
      <c r="I560" s="3">
        <v>4382.4799999999996</v>
      </c>
      <c r="J560" s="4">
        <v>70</v>
      </c>
      <c r="K560" t="s">
        <v>21</v>
      </c>
      <c r="L560" t="str" cm="1">
        <f t="array" ref="L560">_xlfn.IFS(C560&lt;18,"under 18",C560&lt;36,"btw 18 &amp; 35",C560&lt;51,"btw 36 &amp;50",C560&lt;66,"btw 51 &amp; 66",C560&gt;66,"66 &amp; above")</f>
        <v>66 &amp; above</v>
      </c>
      <c r="M560">
        <f t="shared" si="9"/>
        <v>2</v>
      </c>
    </row>
    <row r="561" spans="1:13" x14ac:dyDescent="0.25">
      <c r="A561" t="s">
        <v>1069</v>
      </c>
      <c r="B561" t="s">
        <v>1070</v>
      </c>
      <c r="C561">
        <v>82</v>
      </c>
      <c r="D561" t="s">
        <v>19</v>
      </c>
      <c r="E561" s="2">
        <v>45549</v>
      </c>
      <c r="F561" s="2">
        <v>45553</v>
      </c>
      <c r="G561" t="s">
        <v>32</v>
      </c>
      <c r="H561" t="s">
        <v>33</v>
      </c>
      <c r="I561" s="3">
        <v>4088.62</v>
      </c>
      <c r="J561" s="4">
        <v>60</v>
      </c>
      <c r="K561" t="s">
        <v>26</v>
      </c>
      <c r="L561" t="str" cm="1">
        <f t="array" ref="L561">_xlfn.IFS(C561&lt;18,"under 18",C561&lt;36,"btw 18 &amp; 35",C561&lt;51,"btw 36 &amp;50",C561&lt;66,"btw 51 &amp; 66",C561&gt;66,"66 &amp; above")</f>
        <v>66 &amp; above</v>
      </c>
      <c r="M561">
        <f t="shared" si="9"/>
        <v>4</v>
      </c>
    </row>
    <row r="562" spans="1:13" x14ac:dyDescent="0.25">
      <c r="A562" t="s">
        <v>1071</v>
      </c>
      <c r="B562" t="s">
        <v>1072</v>
      </c>
      <c r="C562">
        <v>7</v>
      </c>
      <c r="D562" t="s">
        <v>13</v>
      </c>
      <c r="E562" s="2">
        <v>45865</v>
      </c>
      <c r="F562" s="2">
        <v>45868</v>
      </c>
      <c r="G562" t="s">
        <v>50</v>
      </c>
      <c r="H562" t="s">
        <v>379</v>
      </c>
      <c r="I562" s="3">
        <v>3324.31</v>
      </c>
      <c r="J562" s="4">
        <v>80</v>
      </c>
      <c r="K562" t="s">
        <v>26</v>
      </c>
      <c r="L562" t="str" cm="1">
        <f t="array" ref="L562">_xlfn.IFS(C562&lt;18,"under 18",C562&lt;36,"btw 18 &amp; 35",C562&lt;51,"btw 36 &amp;50",C562&lt;66,"btw 51 &amp; 66",C562&gt;66,"66 &amp; above")</f>
        <v>under 18</v>
      </c>
      <c r="M562">
        <f t="shared" si="9"/>
        <v>3</v>
      </c>
    </row>
    <row r="563" spans="1:13" x14ac:dyDescent="0.25">
      <c r="A563" t="s">
        <v>1073</v>
      </c>
      <c r="B563" t="s">
        <v>92</v>
      </c>
      <c r="C563">
        <v>25</v>
      </c>
      <c r="D563" t="s">
        <v>13</v>
      </c>
      <c r="E563" s="2">
        <v>45413</v>
      </c>
      <c r="F563" s="2">
        <v>45421</v>
      </c>
      <c r="G563" t="s">
        <v>61</v>
      </c>
      <c r="H563" t="s">
        <v>62</v>
      </c>
      <c r="I563" s="3">
        <v>9961.07</v>
      </c>
      <c r="J563" s="4">
        <v>70</v>
      </c>
      <c r="K563" t="s">
        <v>16</v>
      </c>
      <c r="L563" t="str" cm="1">
        <f t="array" ref="L563">_xlfn.IFS(C563&lt;18,"under 18",C563&lt;36,"btw 18 &amp; 35",C563&lt;51,"btw 36 &amp;50",C563&lt;66,"btw 51 &amp; 66",C563&gt;66,"66 &amp; above")</f>
        <v>btw 18 &amp; 35</v>
      </c>
      <c r="M563">
        <f t="shared" si="9"/>
        <v>8</v>
      </c>
    </row>
    <row r="564" spans="1:13" x14ac:dyDescent="0.25">
      <c r="A564" t="s">
        <v>1074</v>
      </c>
      <c r="B564" t="s">
        <v>1075</v>
      </c>
      <c r="C564">
        <v>77</v>
      </c>
      <c r="D564" t="s">
        <v>13</v>
      </c>
      <c r="E564" s="2">
        <v>45315</v>
      </c>
      <c r="F564" s="2">
        <v>45321</v>
      </c>
      <c r="G564" t="s">
        <v>32</v>
      </c>
      <c r="H564" t="s">
        <v>88</v>
      </c>
      <c r="I564" s="3">
        <v>8841.14</v>
      </c>
      <c r="J564" s="4">
        <v>0</v>
      </c>
      <c r="K564" t="s">
        <v>16</v>
      </c>
      <c r="L564" t="str" cm="1">
        <f t="array" ref="L564">_xlfn.IFS(C564&lt;18,"under 18",C564&lt;36,"btw 18 &amp; 35",C564&lt;51,"btw 36 &amp;50",C564&lt;66,"btw 51 &amp; 66",C564&gt;66,"66 &amp; above")</f>
        <v>66 &amp; above</v>
      </c>
      <c r="M564">
        <f t="shared" si="9"/>
        <v>6</v>
      </c>
    </row>
    <row r="565" spans="1:13" x14ac:dyDescent="0.25">
      <c r="A565" t="s">
        <v>1076</v>
      </c>
      <c r="B565" t="s">
        <v>1077</v>
      </c>
      <c r="C565">
        <v>3</v>
      </c>
      <c r="D565" t="s">
        <v>13</v>
      </c>
      <c r="E565" s="2">
        <v>45756</v>
      </c>
      <c r="F565" s="2">
        <v>45759</v>
      </c>
      <c r="G565" t="s">
        <v>50</v>
      </c>
      <c r="H565" t="s">
        <v>51</v>
      </c>
      <c r="I565" s="3">
        <v>5228.9399999999996</v>
      </c>
      <c r="J565" s="4">
        <v>50</v>
      </c>
      <c r="K565" t="s">
        <v>21</v>
      </c>
      <c r="L565" t="str" cm="1">
        <f t="array" ref="L565">_xlfn.IFS(C565&lt;18,"under 18",C565&lt;36,"btw 18 &amp; 35",C565&lt;51,"btw 36 &amp;50",C565&lt;66,"btw 51 &amp; 66",C565&gt;66,"66 &amp; above")</f>
        <v>under 18</v>
      </c>
      <c r="M565">
        <f t="shared" si="9"/>
        <v>3</v>
      </c>
    </row>
    <row r="566" spans="1:13" x14ac:dyDescent="0.25">
      <c r="A566" t="s">
        <v>1078</v>
      </c>
      <c r="B566" t="s">
        <v>1079</v>
      </c>
      <c r="C566">
        <v>47</v>
      </c>
      <c r="D566" t="s">
        <v>13</v>
      </c>
      <c r="E566" s="2">
        <v>45966</v>
      </c>
      <c r="F566" s="2">
        <v>45971</v>
      </c>
      <c r="G566" t="s">
        <v>32</v>
      </c>
      <c r="H566" t="s">
        <v>115</v>
      </c>
      <c r="I566" s="3">
        <v>6395.28</v>
      </c>
      <c r="J566" s="4">
        <v>90</v>
      </c>
      <c r="K566" t="s">
        <v>16</v>
      </c>
      <c r="L566" t="str" cm="1">
        <f t="array" ref="L566">_xlfn.IFS(C566&lt;18,"under 18",C566&lt;36,"btw 18 &amp; 35",C566&lt;51,"btw 36 &amp;50",C566&lt;66,"btw 51 &amp; 66",C566&gt;66,"66 &amp; above")</f>
        <v>btw 36 &amp;50</v>
      </c>
      <c r="M566">
        <f t="shared" si="9"/>
        <v>5</v>
      </c>
    </row>
    <row r="567" spans="1:13" x14ac:dyDescent="0.25">
      <c r="A567" t="s">
        <v>1080</v>
      </c>
      <c r="B567" t="s">
        <v>347</v>
      </c>
      <c r="C567">
        <v>68</v>
      </c>
      <c r="D567" t="s">
        <v>19</v>
      </c>
      <c r="E567" s="2">
        <v>45516</v>
      </c>
      <c r="F567" s="2">
        <v>45517</v>
      </c>
      <c r="G567" t="s">
        <v>32</v>
      </c>
      <c r="H567" t="s">
        <v>88</v>
      </c>
      <c r="I567" s="3">
        <v>973.65</v>
      </c>
      <c r="J567" s="4">
        <v>80</v>
      </c>
      <c r="K567" t="s">
        <v>21</v>
      </c>
      <c r="L567" t="str" cm="1">
        <f t="array" ref="L567">_xlfn.IFS(C567&lt;18,"under 18",C567&lt;36,"btw 18 &amp; 35",C567&lt;51,"btw 36 &amp;50",C567&lt;66,"btw 51 &amp; 66",C567&gt;66,"66 &amp; above")</f>
        <v>66 &amp; above</v>
      </c>
      <c r="M567">
        <f t="shared" si="9"/>
        <v>1</v>
      </c>
    </row>
    <row r="568" spans="1:13" x14ac:dyDescent="0.25">
      <c r="A568" t="s">
        <v>1081</v>
      </c>
      <c r="B568" t="s">
        <v>413</v>
      </c>
      <c r="C568">
        <v>52</v>
      </c>
      <c r="D568" t="s">
        <v>13</v>
      </c>
      <c r="E568" s="2">
        <v>45724</v>
      </c>
      <c r="F568" s="2">
        <v>45729</v>
      </c>
      <c r="G568" t="s">
        <v>14</v>
      </c>
      <c r="H568" t="s">
        <v>39</v>
      </c>
      <c r="I568" s="3">
        <v>10137.39</v>
      </c>
      <c r="J568" s="4">
        <v>70</v>
      </c>
      <c r="K568" t="s">
        <v>26</v>
      </c>
      <c r="L568" t="str" cm="1">
        <f t="array" ref="L568">_xlfn.IFS(C568&lt;18,"under 18",C568&lt;36,"btw 18 &amp; 35",C568&lt;51,"btw 36 &amp;50",C568&lt;66,"btw 51 &amp; 66",C568&gt;66,"66 &amp; above")</f>
        <v>btw 51 &amp; 66</v>
      </c>
      <c r="M568">
        <f t="shared" si="9"/>
        <v>5</v>
      </c>
    </row>
    <row r="569" spans="1:13" x14ac:dyDescent="0.25">
      <c r="A569" t="s">
        <v>1082</v>
      </c>
      <c r="B569" t="s">
        <v>440</v>
      </c>
      <c r="C569">
        <v>28</v>
      </c>
      <c r="D569" t="s">
        <v>19</v>
      </c>
      <c r="E569" s="2">
        <v>45300</v>
      </c>
      <c r="F569" s="2">
        <v>45312</v>
      </c>
      <c r="G569" t="s">
        <v>61</v>
      </c>
      <c r="H569" t="s">
        <v>78</v>
      </c>
      <c r="I569" s="3">
        <v>22947.49</v>
      </c>
      <c r="J569" s="4">
        <v>80</v>
      </c>
      <c r="K569" t="s">
        <v>16</v>
      </c>
      <c r="L569" t="str" cm="1">
        <f t="array" ref="L569">_xlfn.IFS(C569&lt;18,"under 18",C569&lt;36,"btw 18 &amp; 35",C569&lt;51,"btw 36 &amp;50",C569&lt;66,"btw 51 &amp; 66",C569&gt;66,"66 &amp; above")</f>
        <v>btw 18 &amp; 35</v>
      </c>
      <c r="M569">
        <f t="shared" si="9"/>
        <v>12</v>
      </c>
    </row>
    <row r="570" spans="1:13" x14ac:dyDescent="0.25">
      <c r="A570" t="s">
        <v>1083</v>
      </c>
      <c r="B570" t="s">
        <v>1084</v>
      </c>
      <c r="C570">
        <v>67</v>
      </c>
      <c r="D570" t="s">
        <v>13</v>
      </c>
      <c r="E570" s="2">
        <v>45553</v>
      </c>
      <c r="F570" s="2">
        <v>45555</v>
      </c>
      <c r="G570" t="s">
        <v>61</v>
      </c>
      <c r="H570" t="s">
        <v>134</v>
      </c>
      <c r="I570" s="3">
        <v>2438.71</v>
      </c>
      <c r="J570" s="4">
        <v>70</v>
      </c>
      <c r="K570" t="s">
        <v>26</v>
      </c>
      <c r="L570" t="str" cm="1">
        <f t="array" ref="L570">_xlfn.IFS(C570&lt;18,"under 18",C570&lt;36,"btw 18 &amp; 35",C570&lt;51,"btw 36 &amp;50",C570&lt;66,"btw 51 &amp; 66",C570&gt;66,"66 &amp; above")</f>
        <v>66 &amp; above</v>
      </c>
      <c r="M570">
        <f t="shared" si="9"/>
        <v>2</v>
      </c>
    </row>
    <row r="571" spans="1:13" x14ac:dyDescent="0.25">
      <c r="A571" t="s">
        <v>1085</v>
      </c>
      <c r="B571" t="s">
        <v>751</v>
      </c>
      <c r="C571">
        <v>55</v>
      </c>
      <c r="D571" t="s">
        <v>19</v>
      </c>
      <c r="E571" s="2">
        <v>45360</v>
      </c>
      <c r="F571" s="2">
        <v>45362</v>
      </c>
      <c r="G571" t="s">
        <v>24</v>
      </c>
      <c r="H571" t="s">
        <v>334</v>
      </c>
      <c r="I571" s="3">
        <v>1963.87</v>
      </c>
      <c r="J571" s="4">
        <v>80</v>
      </c>
      <c r="K571" t="s">
        <v>26</v>
      </c>
      <c r="L571" t="str" cm="1">
        <f t="array" ref="L571">_xlfn.IFS(C571&lt;18,"under 18",C571&lt;36,"btw 18 &amp; 35",C571&lt;51,"btw 36 &amp;50",C571&lt;66,"btw 51 &amp; 66",C571&gt;66,"66 &amp; above")</f>
        <v>btw 51 &amp; 66</v>
      </c>
      <c r="M571">
        <f t="shared" si="9"/>
        <v>2</v>
      </c>
    </row>
    <row r="572" spans="1:13" x14ac:dyDescent="0.25">
      <c r="A572" t="s">
        <v>1086</v>
      </c>
      <c r="B572" t="s">
        <v>1052</v>
      </c>
      <c r="C572">
        <v>12</v>
      </c>
      <c r="D572" t="s">
        <v>13</v>
      </c>
      <c r="E572" s="2">
        <v>45831</v>
      </c>
      <c r="F572" s="2">
        <v>45834</v>
      </c>
      <c r="G572" t="s">
        <v>50</v>
      </c>
      <c r="H572" t="s">
        <v>124</v>
      </c>
      <c r="I572" s="3">
        <v>3527.16</v>
      </c>
      <c r="J572" s="4">
        <v>70</v>
      </c>
      <c r="K572" t="s">
        <v>16</v>
      </c>
      <c r="L572" t="str" cm="1">
        <f t="array" ref="L572">_xlfn.IFS(C572&lt;18,"under 18",C572&lt;36,"btw 18 &amp; 35",C572&lt;51,"btw 36 &amp;50",C572&lt;66,"btw 51 &amp; 66",C572&gt;66,"66 &amp; above")</f>
        <v>under 18</v>
      </c>
      <c r="M572">
        <f t="shared" si="9"/>
        <v>3</v>
      </c>
    </row>
    <row r="573" spans="1:13" x14ac:dyDescent="0.25">
      <c r="A573" t="s">
        <v>1087</v>
      </c>
      <c r="B573" t="s">
        <v>1088</v>
      </c>
      <c r="C573">
        <v>35</v>
      </c>
      <c r="D573" t="s">
        <v>13</v>
      </c>
      <c r="E573" s="2">
        <v>45864</v>
      </c>
      <c r="F573" s="2">
        <v>45867</v>
      </c>
      <c r="G573" t="s">
        <v>24</v>
      </c>
      <c r="H573" t="s">
        <v>334</v>
      </c>
      <c r="I573" s="3">
        <v>5342.79</v>
      </c>
      <c r="J573" s="4">
        <v>70</v>
      </c>
      <c r="K573" t="s">
        <v>16</v>
      </c>
      <c r="L573" t="str" cm="1">
        <f t="array" ref="L573">_xlfn.IFS(C573&lt;18,"under 18",C573&lt;36,"btw 18 &amp; 35",C573&lt;51,"btw 36 &amp;50",C573&lt;66,"btw 51 &amp; 66",C573&gt;66,"66 &amp; above")</f>
        <v>btw 18 &amp; 35</v>
      </c>
      <c r="M573">
        <f t="shared" si="9"/>
        <v>3</v>
      </c>
    </row>
    <row r="574" spans="1:13" x14ac:dyDescent="0.25">
      <c r="A574" t="s">
        <v>1089</v>
      </c>
      <c r="B574" t="s">
        <v>1090</v>
      </c>
      <c r="C574">
        <v>30</v>
      </c>
      <c r="D574" t="s">
        <v>19</v>
      </c>
      <c r="E574" s="2">
        <v>45523</v>
      </c>
      <c r="F574" s="2">
        <v>45535</v>
      </c>
      <c r="G574" t="s">
        <v>61</v>
      </c>
      <c r="H574" t="s">
        <v>78</v>
      </c>
      <c r="I574" s="3">
        <v>30203.49</v>
      </c>
      <c r="J574" s="4">
        <v>100</v>
      </c>
      <c r="K574" t="s">
        <v>21</v>
      </c>
      <c r="L574" t="str" cm="1">
        <f t="array" ref="L574">_xlfn.IFS(C574&lt;18,"under 18",C574&lt;36,"btw 18 &amp; 35",C574&lt;51,"btw 36 &amp;50",C574&lt;66,"btw 51 &amp; 66",C574&gt;66,"66 &amp; above")</f>
        <v>btw 18 &amp; 35</v>
      </c>
      <c r="M574">
        <f t="shared" si="9"/>
        <v>12</v>
      </c>
    </row>
    <row r="575" spans="1:13" x14ac:dyDescent="0.25">
      <c r="A575" t="s">
        <v>1091</v>
      </c>
      <c r="B575" t="s">
        <v>607</v>
      </c>
      <c r="C575">
        <v>69</v>
      </c>
      <c r="D575" t="s">
        <v>13</v>
      </c>
      <c r="E575" s="2">
        <v>45407</v>
      </c>
      <c r="F575" s="2">
        <v>45413</v>
      </c>
      <c r="G575" t="s">
        <v>61</v>
      </c>
      <c r="H575" t="s">
        <v>78</v>
      </c>
      <c r="I575" s="3">
        <v>7312.84</v>
      </c>
      <c r="J575" s="4">
        <v>70</v>
      </c>
      <c r="K575" t="s">
        <v>21</v>
      </c>
      <c r="L575" t="str" cm="1">
        <f t="array" ref="L575">_xlfn.IFS(C575&lt;18,"under 18",C575&lt;36,"btw 18 &amp; 35",C575&lt;51,"btw 36 &amp;50",C575&lt;66,"btw 51 &amp; 66",C575&gt;66,"66 &amp; above")</f>
        <v>66 &amp; above</v>
      </c>
      <c r="M575">
        <f t="shared" si="9"/>
        <v>6</v>
      </c>
    </row>
    <row r="576" spans="1:13" x14ac:dyDescent="0.25">
      <c r="A576" t="s">
        <v>1092</v>
      </c>
      <c r="B576" t="s">
        <v>694</v>
      </c>
      <c r="C576">
        <v>34</v>
      </c>
      <c r="D576" t="s">
        <v>19</v>
      </c>
      <c r="E576" s="2">
        <v>45443</v>
      </c>
      <c r="F576" s="2">
        <v>45447</v>
      </c>
      <c r="G576" t="s">
        <v>32</v>
      </c>
      <c r="H576" t="s">
        <v>235</v>
      </c>
      <c r="I576" s="3">
        <v>4926.28</v>
      </c>
      <c r="J576" s="4">
        <v>90</v>
      </c>
      <c r="K576" t="s">
        <v>16</v>
      </c>
      <c r="L576" t="str" cm="1">
        <f t="array" ref="L576">_xlfn.IFS(C576&lt;18,"under 18",C576&lt;36,"btw 18 &amp; 35",C576&lt;51,"btw 36 &amp;50",C576&lt;66,"btw 51 &amp; 66",C576&gt;66,"66 &amp; above")</f>
        <v>btw 18 &amp; 35</v>
      </c>
      <c r="M576">
        <f t="shared" si="9"/>
        <v>4</v>
      </c>
    </row>
    <row r="577" spans="1:13" x14ac:dyDescent="0.25">
      <c r="A577" t="s">
        <v>1093</v>
      </c>
      <c r="B577" t="s">
        <v>1094</v>
      </c>
      <c r="C577">
        <v>84</v>
      </c>
      <c r="D577" t="s">
        <v>19</v>
      </c>
      <c r="E577" s="2">
        <v>45906</v>
      </c>
      <c r="F577" s="2">
        <v>45908</v>
      </c>
      <c r="G577" t="s">
        <v>24</v>
      </c>
      <c r="H577" t="s">
        <v>29</v>
      </c>
      <c r="I577" s="3">
        <v>3526.66</v>
      </c>
      <c r="J577" s="4">
        <v>100</v>
      </c>
      <c r="K577" t="s">
        <v>26</v>
      </c>
      <c r="L577" t="str" cm="1">
        <f t="array" ref="L577">_xlfn.IFS(C577&lt;18,"under 18",C577&lt;36,"btw 18 &amp; 35",C577&lt;51,"btw 36 &amp;50",C577&lt;66,"btw 51 &amp; 66",C577&gt;66,"66 &amp; above")</f>
        <v>66 &amp; above</v>
      </c>
      <c r="M577">
        <f t="shared" si="9"/>
        <v>2</v>
      </c>
    </row>
    <row r="578" spans="1:13" x14ac:dyDescent="0.25">
      <c r="A578" t="s">
        <v>1095</v>
      </c>
      <c r="B578" t="s">
        <v>1096</v>
      </c>
      <c r="C578">
        <v>76</v>
      </c>
      <c r="D578" t="s">
        <v>19</v>
      </c>
      <c r="E578" s="2">
        <v>45777</v>
      </c>
      <c r="F578" s="2">
        <v>45781</v>
      </c>
      <c r="G578" t="s">
        <v>32</v>
      </c>
      <c r="H578" t="s">
        <v>115</v>
      </c>
      <c r="I578" s="3">
        <v>3004.47</v>
      </c>
      <c r="J578" s="4">
        <v>80</v>
      </c>
      <c r="K578" t="s">
        <v>16</v>
      </c>
      <c r="L578" t="str" cm="1">
        <f t="array" ref="L578">_xlfn.IFS(C578&lt;18,"under 18",C578&lt;36,"btw 18 &amp; 35",C578&lt;51,"btw 36 &amp;50",C578&lt;66,"btw 51 &amp; 66",C578&gt;66,"66 &amp; above")</f>
        <v>66 &amp; above</v>
      </c>
      <c r="M578">
        <f t="shared" si="9"/>
        <v>4</v>
      </c>
    </row>
    <row r="579" spans="1:13" x14ac:dyDescent="0.25">
      <c r="A579" t="s">
        <v>1097</v>
      </c>
      <c r="B579" t="s">
        <v>1098</v>
      </c>
      <c r="C579">
        <v>55</v>
      </c>
      <c r="D579" t="s">
        <v>13</v>
      </c>
      <c r="E579" s="2">
        <v>45799</v>
      </c>
      <c r="F579" s="2">
        <v>45800</v>
      </c>
      <c r="G579" t="s">
        <v>24</v>
      </c>
      <c r="H579" t="s">
        <v>205</v>
      </c>
      <c r="I579" s="3">
        <v>988.47</v>
      </c>
      <c r="J579" s="4">
        <v>90</v>
      </c>
      <c r="K579" t="s">
        <v>16</v>
      </c>
      <c r="L579" t="str" cm="1">
        <f t="array" ref="L579">_xlfn.IFS(C579&lt;18,"under 18",C579&lt;36,"btw 18 &amp; 35",C579&lt;51,"btw 36 &amp;50",C579&lt;66,"btw 51 &amp; 66",C579&gt;66,"66 &amp; above")</f>
        <v>btw 51 &amp; 66</v>
      </c>
      <c r="M579">
        <f t="shared" ref="M579:M642" si="10">AVERAGE(F579-E579)</f>
        <v>1</v>
      </c>
    </row>
    <row r="580" spans="1:13" x14ac:dyDescent="0.25">
      <c r="A580" t="s">
        <v>1099</v>
      </c>
      <c r="B580" t="s">
        <v>1100</v>
      </c>
      <c r="C580">
        <v>63</v>
      </c>
      <c r="D580" t="s">
        <v>19</v>
      </c>
      <c r="E580" s="2">
        <v>45845</v>
      </c>
      <c r="F580" s="2">
        <v>45852</v>
      </c>
      <c r="G580" t="s">
        <v>14</v>
      </c>
      <c r="H580" t="s">
        <v>166</v>
      </c>
      <c r="I580" s="3">
        <v>8993.9699999999993</v>
      </c>
      <c r="J580" s="4">
        <v>60</v>
      </c>
      <c r="K580" t="s">
        <v>16</v>
      </c>
      <c r="L580" t="str" cm="1">
        <f t="array" ref="L580">_xlfn.IFS(C580&lt;18,"under 18",C580&lt;36,"btw 18 &amp; 35",C580&lt;51,"btw 36 &amp;50",C580&lt;66,"btw 51 &amp; 66",C580&gt;66,"66 &amp; above")</f>
        <v>btw 51 &amp; 66</v>
      </c>
      <c r="M580">
        <f t="shared" si="10"/>
        <v>7</v>
      </c>
    </row>
    <row r="581" spans="1:13" x14ac:dyDescent="0.25">
      <c r="A581" t="s">
        <v>1101</v>
      </c>
      <c r="B581" t="s">
        <v>1102</v>
      </c>
      <c r="C581">
        <v>66</v>
      </c>
      <c r="D581" t="s">
        <v>13</v>
      </c>
      <c r="E581" s="2">
        <v>45839</v>
      </c>
      <c r="F581" s="2">
        <v>45843</v>
      </c>
      <c r="G581" t="s">
        <v>14</v>
      </c>
      <c r="H581" t="s">
        <v>103</v>
      </c>
      <c r="I581" s="3">
        <v>7934.14</v>
      </c>
      <c r="J581" s="4">
        <v>80</v>
      </c>
      <c r="K581" t="s">
        <v>16</v>
      </c>
      <c r="L581" t="e" cm="1">
        <f t="array" ref="L581">_xlfn.IFS(C581&lt;18,"under 18",C581&lt;36,"btw 18 &amp; 35",C581&lt;51,"btw 36 &amp;50",C581&lt;66,"btw 51 &amp; 66",C581&gt;66,"66 &amp; above")</f>
        <v>#N/A</v>
      </c>
      <c r="M581">
        <f t="shared" si="10"/>
        <v>4</v>
      </c>
    </row>
    <row r="582" spans="1:13" x14ac:dyDescent="0.25">
      <c r="A582" t="s">
        <v>1103</v>
      </c>
      <c r="B582" t="s">
        <v>1104</v>
      </c>
      <c r="C582">
        <v>35</v>
      </c>
      <c r="D582" t="s">
        <v>19</v>
      </c>
      <c r="E582" s="2">
        <v>45923</v>
      </c>
      <c r="F582" s="2">
        <v>45926</v>
      </c>
      <c r="G582" t="s">
        <v>24</v>
      </c>
      <c r="H582" t="s">
        <v>222</v>
      </c>
      <c r="I582" s="3">
        <v>2517.29</v>
      </c>
      <c r="J582" s="4">
        <v>80</v>
      </c>
      <c r="K582" t="s">
        <v>16</v>
      </c>
      <c r="L582" t="str" cm="1">
        <f t="array" ref="L582">_xlfn.IFS(C582&lt;18,"under 18",C582&lt;36,"btw 18 &amp; 35",C582&lt;51,"btw 36 &amp;50",C582&lt;66,"btw 51 &amp; 66",C582&gt;66,"66 &amp; above")</f>
        <v>btw 18 &amp; 35</v>
      </c>
      <c r="M582">
        <f t="shared" si="10"/>
        <v>3</v>
      </c>
    </row>
    <row r="583" spans="1:13" x14ac:dyDescent="0.25">
      <c r="A583" t="s">
        <v>1105</v>
      </c>
      <c r="B583" t="s">
        <v>1106</v>
      </c>
      <c r="C583">
        <v>48</v>
      </c>
      <c r="D583" t="s">
        <v>13</v>
      </c>
      <c r="E583" s="2">
        <v>45473</v>
      </c>
      <c r="F583" s="2">
        <v>45481</v>
      </c>
      <c r="G583" t="s">
        <v>14</v>
      </c>
      <c r="H583" t="s">
        <v>15</v>
      </c>
      <c r="I583" s="3">
        <v>12873.58</v>
      </c>
      <c r="J583" s="4">
        <v>70</v>
      </c>
      <c r="K583" t="s">
        <v>21</v>
      </c>
      <c r="L583" t="str" cm="1">
        <f t="array" ref="L583">_xlfn.IFS(C583&lt;18,"under 18",C583&lt;36,"btw 18 &amp; 35",C583&lt;51,"btw 36 &amp;50",C583&lt;66,"btw 51 &amp; 66",C583&gt;66,"66 &amp; above")</f>
        <v>btw 36 &amp;50</v>
      </c>
      <c r="M583">
        <f t="shared" si="10"/>
        <v>8</v>
      </c>
    </row>
    <row r="584" spans="1:13" x14ac:dyDescent="0.25">
      <c r="A584" t="s">
        <v>1107</v>
      </c>
      <c r="B584" t="s">
        <v>1108</v>
      </c>
      <c r="C584">
        <v>73</v>
      </c>
      <c r="D584" t="s">
        <v>19</v>
      </c>
      <c r="E584" s="2">
        <v>45906</v>
      </c>
      <c r="F584" s="2">
        <v>45910</v>
      </c>
      <c r="G584" t="s">
        <v>32</v>
      </c>
      <c r="H584" t="s">
        <v>33</v>
      </c>
      <c r="I584" s="3">
        <v>5208.9799999999996</v>
      </c>
      <c r="J584" s="4">
        <v>80</v>
      </c>
      <c r="K584" t="s">
        <v>16</v>
      </c>
      <c r="L584" t="str" cm="1">
        <f t="array" ref="L584">_xlfn.IFS(C584&lt;18,"under 18",C584&lt;36,"btw 18 &amp; 35",C584&lt;51,"btw 36 &amp;50",C584&lt;66,"btw 51 &amp; 66",C584&gt;66,"66 &amp; above")</f>
        <v>66 &amp; above</v>
      </c>
      <c r="M584">
        <f t="shared" si="10"/>
        <v>4</v>
      </c>
    </row>
    <row r="585" spans="1:13" x14ac:dyDescent="0.25">
      <c r="A585" t="s">
        <v>1109</v>
      </c>
      <c r="B585" t="s">
        <v>1110</v>
      </c>
      <c r="C585">
        <v>80</v>
      </c>
      <c r="D585" t="s">
        <v>13</v>
      </c>
      <c r="E585" s="2">
        <v>45489</v>
      </c>
      <c r="F585" s="2">
        <v>45498</v>
      </c>
      <c r="G585" t="s">
        <v>14</v>
      </c>
      <c r="H585" t="s">
        <v>20</v>
      </c>
      <c r="I585" s="3">
        <v>16136.12</v>
      </c>
      <c r="J585" s="4">
        <v>100</v>
      </c>
      <c r="K585" t="s">
        <v>16</v>
      </c>
      <c r="L585" t="str" cm="1">
        <f t="array" ref="L585">_xlfn.IFS(C585&lt;18,"under 18",C585&lt;36,"btw 18 &amp; 35",C585&lt;51,"btw 36 &amp;50",C585&lt;66,"btw 51 &amp; 66",C585&gt;66,"66 &amp; above")</f>
        <v>66 &amp; above</v>
      </c>
      <c r="M585">
        <f t="shared" si="10"/>
        <v>9</v>
      </c>
    </row>
    <row r="586" spans="1:13" x14ac:dyDescent="0.25">
      <c r="A586" t="s">
        <v>1111</v>
      </c>
      <c r="B586" t="s">
        <v>718</v>
      </c>
      <c r="C586">
        <v>10</v>
      </c>
      <c r="D586" t="s">
        <v>19</v>
      </c>
      <c r="E586" s="2">
        <v>45873</v>
      </c>
      <c r="F586" s="2">
        <v>45877</v>
      </c>
      <c r="G586" t="s">
        <v>50</v>
      </c>
      <c r="H586" t="s">
        <v>121</v>
      </c>
      <c r="I586" s="3">
        <v>4827.5</v>
      </c>
      <c r="J586" s="4">
        <v>80</v>
      </c>
      <c r="K586" t="s">
        <v>26</v>
      </c>
      <c r="L586" t="str" cm="1">
        <f t="array" ref="L586">_xlfn.IFS(C586&lt;18,"under 18",C586&lt;36,"btw 18 &amp; 35",C586&lt;51,"btw 36 &amp;50",C586&lt;66,"btw 51 &amp; 66",C586&gt;66,"66 &amp; above")</f>
        <v>under 18</v>
      </c>
      <c r="M586">
        <f t="shared" si="10"/>
        <v>4</v>
      </c>
    </row>
    <row r="587" spans="1:13" x14ac:dyDescent="0.25">
      <c r="A587" t="s">
        <v>1112</v>
      </c>
      <c r="B587" t="s">
        <v>450</v>
      </c>
      <c r="C587">
        <v>19</v>
      </c>
      <c r="D587" t="s">
        <v>13</v>
      </c>
      <c r="E587" s="2">
        <v>45850</v>
      </c>
      <c r="F587" s="2">
        <v>45853</v>
      </c>
      <c r="G587" t="s">
        <v>24</v>
      </c>
      <c r="H587" t="s">
        <v>29</v>
      </c>
      <c r="I587" s="3">
        <v>6858.75</v>
      </c>
      <c r="J587" s="4">
        <v>80</v>
      </c>
      <c r="K587" t="s">
        <v>21</v>
      </c>
      <c r="L587" t="str" cm="1">
        <f t="array" ref="L587">_xlfn.IFS(C587&lt;18,"under 18",C587&lt;36,"btw 18 &amp; 35",C587&lt;51,"btw 36 &amp;50",C587&lt;66,"btw 51 &amp; 66",C587&gt;66,"66 &amp; above")</f>
        <v>btw 18 &amp; 35</v>
      </c>
      <c r="M587">
        <f t="shared" si="10"/>
        <v>3</v>
      </c>
    </row>
    <row r="588" spans="1:13" x14ac:dyDescent="0.25">
      <c r="A588" t="s">
        <v>1113</v>
      </c>
      <c r="B588" t="s">
        <v>1114</v>
      </c>
      <c r="C588">
        <v>9</v>
      </c>
      <c r="D588" t="s">
        <v>19</v>
      </c>
      <c r="E588" s="2">
        <v>45612</v>
      </c>
      <c r="F588" s="2">
        <v>45617</v>
      </c>
      <c r="G588" t="s">
        <v>50</v>
      </c>
      <c r="H588" t="s">
        <v>124</v>
      </c>
      <c r="I588" s="3">
        <v>6485.39</v>
      </c>
      <c r="J588" s="4">
        <v>70</v>
      </c>
      <c r="K588" t="s">
        <v>26</v>
      </c>
      <c r="L588" t="str" cm="1">
        <f t="array" ref="L588">_xlfn.IFS(C588&lt;18,"under 18",C588&lt;36,"btw 18 &amp; 35",C588&lt;51,"btw 36 &amp;50",C588&lt;66,"btw 51 &amp; 66",C588&gt;66,"66 &amp; above")</f>
        <v>under 18</v>
      </c>
      <c r="M588">
        <f t="shared" si="10"/>
        <v>5</v>
      </c>
    </row>
    <row r="589" spans="1:13" x14ac:dyDescent="0.25">
      <c r="A589" t="s">
        <v>1115</v>
      </c>
      <c r="B589" t="s">
        <v>1116</v>
      </c>
      <c r="C589">
        <v>71</v>
      </c>
      <c r="D589" t="s">
        <v>13</v>
      </c>
      <c r="E589" s="2">
        <v>45498</v>
      </c>
      <c r="F589" s="2">
        <v>45502</v>
      </c>
      <c r="G589" t="s">
        <v>32</v>
      </c>
      <c r="H589" t="s">
        <v>54</v>
      </c>
      <c r="I589" s="3">
        <v>5888.84</v>
      </c>
      <c r="J589" s="4">
        <v>60</v>
      </c>
      <c r="K589" t="s">
        <v>16</v>
      </c>
      <c r="L589" t="str" cm="1">
        <f t="array" ref="L589">_xlfn.IFS(C589&lt;18,"under 18",C589&lt;36,"btw 18 &amp; 35",C589&lt;51,"btw 36 &amp;50",C589&lt;66,"btw 51 &amp; 66",C589&gt;66,"66 &amp; above")</f>
        <v>66 &amp; above</v>
      </c>
      <c r="M589">
        <f t="shared" si="10"/>
        <v>4</v>
      </c>
    </row>
    <row r="590" spans="1:13" x14ac:dyDescent="0.25">
      <c r="A590" t="s">
        <v>1117</v>
      </c>
      <c r="B590" t="s">
        <v>1118</v>
      </c>
      <c r="C590">
        <v>57</v>
      </c>
      <c r="D590" t="s">
        <v>13</v>
      </c>
      <c r="E590" s="2">
        <v>45748</v>
      </c>
      <c r="F590" s="2">
        <v>45749</v>
      </c>
      <c r="G590" t="s">
        <v>32</v>
      </c>
      <c r="H590" t="s">
        <v>115</v>
      </c>
      <c r="I590" s="3">
        <v>988.37</v>
      </c>
      <c r="J590" s="4">
        <v>90</v>
      </c>
      <c r="K590" t="s">
        <v>16</v>
      </c>
      <c r="L590" t="str" cm="1">
        <f t="array" ref="L590">_xlfn.IFS(C590&lt;18,"under 18",C590&lt;36,"btw 18 &amp; 35",C590&lt;51,"btw 36 &amp;50",C590&lt;66,"btw 51 &amp; 66",C590&gt;66,"66 &amp; above")</f>
        <v>btw 51 &amp; 66</v>
      </c>
      <c r="M590">
        <f t="shared" si="10"/>
        <v>1</v>
      </c>
    </row>
    <row r="591" spans="1:13" x14ac:dyDescent="0.25">
      <c r="A591" t="s">
        <v>1119</v>
      </c>
      <c r="B591" t="s">
        <v>1120</v>
      </c>
      <c r="C591">
        <v>41</v>
      </c>
      <c r="D591" t="s">
        <v>13</v>
      </c>
      <c r="E591" s="2">
        <v>45304</v>
      </c>
      <c r="F591" s="2">
        <v>45317</v>
      </c>
      <c r="G591" t="s">
        <v>61</v>
      </c>
      <c r="H591" t="s">
        <v>134</v>
      </c>
      <c r="I591" s="3">
        <v>20871.689999999999</v>
      </c>
      <c r="J591" s="4">
        <v>60</v>
      </c>
      <c r="K591" t="s">
        <v>26</v>
      </c>
      <c r="L591" t="str" cm="1">
        <f t="array" ref="L591">_xlfn.IFS(C591&lt;18,"under 18",C591&lt;36,"btw 18 &amp; 35",C591&lt;51,"btw 36 &amp;50",C591&lt;66,"btw 51 &amp; 66",C591&gt;66,"66 &amp; above")</f>
        <v>btw 36 &amp;50</v>
      </c>
      <c r="M591">
        <f t="shared" si="10"/>
        <v>13</v>
      </c>
    </row>
    <row r="592" spans="1:13" x14ac:dyDescent="0.25">
      <c r="A592" t="s">
        <v>1121</v>
      </c>
      <c r="B592" t="s">
        <v>1122</v>
      </c>
      <c r="C592">
        <v>44</v>
      </c>
      <c r="D592" t="s">
        <v>19</v>
      </c>
      <c r="E592" s="2">
        <v>45926</v>
      </c>
      <c r="F592" s="2">
        <v>45932</v>
      </c>
      <c r="G592" t="s">
        <v>71</v>
      </c>
      <c r="H592" t="s">
        <v>158</v>
      </c>
      <c r="I592" s="3">
        <v>14061.87</v>
      </c>
      <c r="J592" s="4">
        <v>50</v>
      </c>
      <c r="K592" t="s">
        <v>16</v>
      </c>
      <c r="L592" t="str" cm="1">
        <f t="array" ref="L592">_xlfn.IFS(C592&lt;18,"under 18",C592&lt;36,"btw 18 &amp; 35",C592&lt;51,"btw 36 &amp;50",C592&lt;66,"btw 51 &amp; 66",C592&gt;66,"66 &amp; above")</f>
        <v>btw 36 &amp;50</v>
      </c>
      <c r="M592">
        <f t="shared" si="10"/>
        <v>6</v>
      </c>
    </row>
    <row r="593" spans="1:13" x14ac:dyDescent="0.25">
      <c r="A593" t="s">
        <v>1123</v>
      </c>
      <c r="B593" t="s">
        <v>1124</v>
      </c>
      <c r="C593">
        <v>74</v>
      </c>
      <c r="D593" t="s">
        <v>13</v>
      </c>
      <c r="E593" s="2">
        <v>45559</v>
      </c>
      <c r="F593" s="2">
        <v>45562</v>
      </c>
      <c r="G593" t="s">
        <v>32</v>
      </c>
      <c r="H593" t="s">
        <v>36</v>
      </c>
      <c r="I593" s="3">
        <v>3702.92</v>
      </c>
      <c r="J593" s="4">
        <v>70</v>
      </c>
      <c r="K593" t="s">
        <v>21</v>
      </c>
      <c r="L593" t="str" cm="1">
        <f t="array" ref="L593">_xlfn.IFS(C593&lt;18,"under 18",C593&lt;36,"btw 18 &amp; 35",C593&lt;51,"btw 36 &amp;50",C593&lt;66,"btw 51 &amp; 66",C593&gt;66,"66 &amp; above")</f>
        <v>66 &amp; above</v>
      </c>
      <c r="M593">
        <f t="shared" si="10"/>
        <v>3</v>
      </c>
    </row>
    <row r="594" spans="1:13" x14ac:dyDescent="0.25">
      <c r="A594" t="s">
        <v>1125</v>
      </c>
      <c r="B594" t="s">
        <v>1126</v>
      </c>
      <c r="C594">
        <v>42</v>
      </c>
      <c r="D594" t="s">
        <v>13</v>
      </c>
      <c r="E594" s="2">
        <v>45382</v>
      </c>
      <c r="F594" s="2">
        <v>45386</v>
      </c>
      <c r="G594" t="s">
        <v>14</v>
      </c>
      <c r="H594" t="s">
        <v>103</v>
      </c>
      <c r="I594" s="3">
        <v>6940.9</v>
      </c>
      <c r="J594" s="4">
        <v>70</v>
      </c>
      <c r="K594" t="s">
        <v>16</v>
      </c>
      <c r="L594" t="str" cm="1">
        <f t="array" ref="L594">_xlfn.IFS(C594&lt;18,"under 18",C594&lt;36,"btw 18 &amp; 35",C594&lt;51,"btw 36 &amp;50",C594&lt;66,"btw 51 &amp; 66",C594&gt;66,"66 &amp; above")</f>
        <v>btw 36 &amp;50</v>
      </c>
      <c r="M594">
        <f t="shared" si="10"/>
        <v>4</v>
      </c>
    </row>
    <row r="595" spans="1:13" x14ac:dyDescent="0.25">
      <c r="A595" t="s">
        <v>1127</v>
      </c>
      <c r="B595" t="s">
        <v>942</v>
      </c>
      <c r="C595">
        <v>74</v>
      </c>
      <c r="D595" t="s">
        <v>13</v>
      </c>
      <c r="E595" s="2">
        <v>45849</v>
      </c>
      <c r="F595" s="2">
        <v>45858</v>
      </c>
      <c r="G595" t="s">
        <v>14</v>
      </c>
      <c r="H595" t="s">
        <v>20</v>
      </c>
      <c r="I595" s="3">
        <v>25312.2</v>
      </c>
      <c r="J595" s="4">
        <v>70</v>
      </c>
      <c r="K595" t="s">
        <v>21</v>
      </c>
      <c r="L595" t="str" cm="1">
        <f t="array" ref="L595">_xlfn.IFS(C595&lt;18,"under 18",C595&lt;36,"btw 18 &amp; 35",C595&lt;51,"btw 36 &amp;50",C595&lt;66,"btw 51 &amp; 66",C595&gt;66,"66 &amp; above")</f>
        <v>66 &amp; above</v>
      </c>
      <c r="M595">
        <f t="shared" si="10"/>
        <v>9</v>
      </c>
    </row>
    <row r="596" spans="1:13" x14ac:dyDescent="0.25">
      <c r="A596" t="s">
        <v>1128</v>
      </c>
      <c r="B596" t="s">
        <v>1129</v>
      </c>
      <c r="C596">
        <v>20</v>
      </c>
      <c r="D596" t="s">
        <v>13</v>
      </c>
      <c r="E596" s="2">
        <v>45739</v>
      </c>
      <c r="F596" s="2">
        <v>45742</v>
      </c>
      <c r="G596" t="s">
        <v>24</v>
      </c>
      <c r="H596" t="s">
        <v>205</v>
      </c>
      <c r="I596" s="3">
        <v>4859.2700000000004</v>
      </c>
      <c r="J596" s="4">
        <v>60</v>
      </c>
      <c r="K596" t="s">
        <v>21</v>
      </c>
      <c r="L596" t="str" cm="1">
        <f t="array" ref="L596">_xlfn.IFS(C596&lt;18,"under 18",C596&lt;36,"btw 18 &amp; 35",C596&lt;51,"btw 36 &amp;50",C596&lt;66,"btw 51 &amp; 66",C596&gt;66,"66 &amp; above")</f>
        <v>btw 18 &amp; 35</v>
      </c>
      <c r="M596">
        <f t="shared" si="10"/>
        <v>3</v>
      </c>
    </row>
    <row r="597" spans="1:13" x14ac:dyDescent="0.25">
      <c r="A597" t="s">
        <v>1130</v>
      </c>
      <c r="B597" t="s">
        <v>1131</v>
      </c>
      <c r="C597">
        <v>7</v>
      </c>
      <c r="D597" t="s">
        <v>19</v>
      </c>
      <c r="E597" s="2">
        <v>45654</v>
      </c>
      <c r="F597" s="2">
        <v>45658</v>
      </c>
      <c r="G597" t="s">
        <v>50</v>
      </c>
      <c r="H597" t="s">
        <v>131</v>
      </c>
      <c r="I597" s="3">
        <v>5071.3900000000003</v>
      </c>
      <c r="J597" s="4">
        <v>90</v>
      </c>
      <c r="K597" t="s">
        <v>26</v>
      </c>
      <c r="L597" t="str" cm="1">
        <f t="array" ref="L597">_xlfn.IFS(C597&lt;18,"under 18",C597&lt;36,"btw 18 &amp; 35",C597&lt;51,"btw 36 &amp;50",C597&lt;66,"btw 51 &amp; 66",C597&gt;66,"66 &amp; above")</f>
        <v>under 18</v>
      </c>
      <c r="M597">
        <f t="shared" si="10"/>
        <v>4</v>
      </c>
    </row>
    <row r="598" spans="1:13" x14ac:dyDescent="0.25">
      <c r="A598" t="s">
        <v>1132</v>
      </c>
      <c r="B598" t="s">
        <v>1133</v>
      </c>
      <c r="C598">
        <v>46</v>
      </c>
      <c r="D598" t="s">
        <v>19</v>
      </c>
      <c r="E598" s="2">
        <v>45394</v>
      </c>
      <c r="F598" s="2">
        <v>45395</v>
      </c>
      <c r="G598" t="s">
        <v>32</v>
      </c>
      <c r="H598" t="s">
        <v>45</v>
      </c>
      <c r="I598" s="3">
        <v>826.69</v>
      </c>
      <c r="J598" s="4">
        <v>80</v>
      </c>
      <c r="K598" t="s">
        <v>16</v>
      </c>
      <c r="L598" t="str" cm="1">
        <f t="array" ref="L598">_xlfn.IFS(C598&lt;18,"under 18",C598&lt;36,"btw 18 &amp; 35",C598&lt;51,"btw 36 &amp;50",C598&lt;66,"btw 51 &amp; 66",C598&gt;66,"66 &amp; above")</f>
        <v>btw 36 &amp;50</v>
      </c>
      <c r="M598">
        <f t="shared" si="10"/>
        <v>1</v>
      </c>
    </row>
    <row r="599" spans="1:13" x14ac:dyDescent="0.25">
      <c r="A599" t="s">
        <v>1134</v>
      </c>
      <c r="B599" t="s">
        <v>878</v>
      </c>
      <c r="C599">
        <v>75</v>
      </c>
      <c r="D599" t="s">
        <v>13</v>
      </c>
      <c r="E599" s="2">
        <v>45466</v>
      </c>
      <c r="F599" s="2">
        <v>45469</v>
      </c>
      <c r="G599" t="s">
        <v>24</v>
      </c>
      <c r="H599" t="s">
        <v>25</v>
      </c>
      <c r="I599" s="3">
        <v>3573.44</v>
      </c>
      <c r="J599" s="4">
        <v>80</v>
      </c>
      <c r="K599" t="s">
        <v>16</v>
      </c>
      <c r="L599" t="str" cm="1">
        <f t="array" ref="L599">_xlfn.IFS(C599&lt;18,"under 18",C599&lt;36,"btw 18 &amp; 35",C599&lt;51,"btw 36 &amp;50",C599&lt;66,"btw 51 &amp; 66",C599&gt;66,"66 &amp; above")</f>
        <v>66 &amp; above</v>
      </c>
      <c r="M599">
        <f t="shared" si="10"/>
        <v>3</v>
      </c>
    </row>
    <row r="600" spans="1:13" x14ac:dyDescent="0.25">
      <c r="A600" t="s">
        <v>1135</v>
      </c>
      <c r="B600" t="s">
        <v>1136</v>
      </c>
      <c r="C600">
        <v>17</v>
      </c>
      <c r="D600" t="s">
        <v>19</v>
      </c>
      <c r="E600" s="2">
        <v>45621</v>
      </c>
      <c r="F600" s="2">
        <v>45623</v>
      </c>
      <c r="G600" t="s">
        <v>50</v>
      </c>
      <c r="H600" t="s">
        <v>131</v>
      </c>
      <c r="I600" s="3">
        <v>3120.86</v>
      </c>
      <c r="J600" s="4">
        <v>70</v>
      </c>
      <c r="K600" t="s">
        <v>16</v>
      </c>
      <c r="L600" t="str" cm="1">
        <f t="array" ref="L600">_xlfn.IFS(C600&lt;18,"under 18",C600&lt;36,"btw 18 &amp; 35",C600&lt;51,"btw 36 &amp;50",C600&lt;66,"btw 51 &amp; 66",C600&gt;66,"66 &amp; above")</f>
        <v>under 18</v>
      </c>
      <c r="M600">
        <f t="shared" si="10"/>
        <v>2</v>
      </c>
    </row>
    <row r="601" spans="1:13" x14ac:dyDescent="0.25">
      <c r="A601" t="s">
        <v>1137</v>
      </c>
      <c r="B601" t="s">
        <v>1138</v>
      </c>
      <c r="C601">
        <v>36</v>
      </c>
      <c r="D601" t="s">
        <v>19</v>
      </c>
      <c r="E601" s="2">
        <v>45741</v>
      </c>
      <c r="F601" s="2">
        <v>45742</v>
      </c>
      <c r="G601" t="s">
        <v>24</v>
      </c>
      <c r="H601" t="s">
        <v>222</v>
      </c>
      <c r="I601" s="3">
        <v>1050.82</v>
      </c>
      <c r="J601" s="4">
        <v>70</v>
      </c>
      <c r="K601" t="s">
        <v>21</v>
      </c>
      <c r="L601" t="str" cm="1">
        <f t="array" ref="L601">_xlfn.IFS(C601&lt;18,"under 18",C601&lt;36,"btw 18 &amp; 35",C601&lt;51,"btw 36 &amp;50",C601&lt;66,"btw 51 &amp; 66",C601&gt;66,"66 &amp; above")</f>
        <v>btw 36 &amp;50</v>
      </c>
      <c r="M601">
        <f t="shared" si="10"/>
        <v>1</v>
      </c>
    </row>
    <row r="602" spans="1:13" x14ac:dyDescent="0.25">
      <c r="A602" t="s">
        <v>1139</v>
      </c>
      <c r="B602" t="s">
        <v>1140</v>
      </c>
      <c r="C602">
        <v>58</v>
      </c>
      <c r="D602" t="s">
        <v>19</v>
      </c>
      <c r="E602" s="2">
        <v>45368</v>
      </c>
      <c r="F602" s="2">
        <v>45371</v>
      </c>
      <c r="G602" t="s">
        <v>24</v>
      </c>
      <c r="H602" t="s">
        <v>25</v>
      </c>
      <c r="I602" s="3">
        <v>4246.95</v>
      </c>
      <c r="J602" s="4">
        <v>70</v>
      </c>
      <c r="K602" t="s">
        <v>26</v>
      </c>
      <c r="L602" t="str" cm="1">
        <f t="array" ref="L602">_xlfn.IFS(C602&lt;18,"under 18",C602&lt;36,"btw 18 &amp; 35",C602&lt;51,"btw 36 &amp;50",C602&lt;66,"btw 51 &amp; 66",C602&gt;66,"66 &amp; above")</f>
        <v>btw 51 &amp; 66</v>
      </c>
      <c r="M602">
        <f t="shared" si="10"/>
        <v>3</v>
      </c>
    </row>
    <row r="603" spans="1:13" x14ac:dyDescent="0.25">
      <c r="A603" t="s">
        <v>1141</v>
      </c>
      <c r="B603" t="s">
        <v>1142</v>
      </c>
      <c r="C603">
        <v>24</v>
      </c>
      <c r="D603" t="s">
        <v>13</v>
      </c>
      <c r="E603" s="2">
        <v>45918</v>
      </c>
      <c r="F603" s="2">
        <v>45921</v>
      </c>
      <c r="G603" t="s">
        <v>24</v>
      </c>
      <c r="H603" t="s">
        <v>334</v>
      </c>
      <c r="I603" s="3">
        <v>3111.41</v>
      </c>
      <c r="J603" s="4">
        <v>90</v>
      </c>
      <c r="K603" t="s">
        <v>16</v>
      </c>
      <c r="L603" t="str" cm="1">
        <f t="array" ref="L603">_xlfn.IFS(C603&lt;18,"under 18",C603&lt;36,"btw 18 &amp; 35",C603&lt;51,"btw 36 &amp;50",C603&lt;66,"btw 51 &amp; 66",C603&gt;66,"66 &amp; above")</f>
        <v>btw 18 &amp; 35</v>
      </c>
      <c r="M603">
        <f t="shared" si="10"/>
        <v>3</v>
      </c>
    </row>
    <row r="604" spans="1:13" x14ac:dyDescent="0.25">
      <c r="A604" t="s">
        <v>1143</v>
      </c>
      <c r="B604" t="s">
        <v>440</v>
      </c>
      <c r="C604">
        <v>56</v>
      </c>
      <c r="D604" t="s">
        <v>19</v>
      </c>
      <c r="E604" s="2">
        <v>45630</v>
      </c>
      <c r="F604" s="2">
        <v>45635</v>
      </c>
      <c r="G604" t="s">
        <v>32</v>
      </c>
      <c r="H604" t="s">
        <v>33</v>
      </c>
      <c r="I604" s="3">
        <v>6980.98</v>
      </c>
      <c r="J604" s="4">
        <v>90</v>
      </c>
      <c r="K604" t="s">
        <v>16</v>
      </c>
      <c r="L604" t="str" cm="1">
        <f t="array" ref="L604">_xlfn.IFS(C604&lt;18,"under 18",C604&lt;36,"btw 18 &amp; 35",C604&lt;51,"btw 36 &amp;50",C604&lt;66,"btw 51 &amp; 66",C604&gt;66,"66 &amp; above")</f>
        <v>btw 51 &amp; 66</v>
      </c>
      <c r="M604">
        <f t="shared" si="10"/>
        <v>5</v>
      </c>
    </row>
    <row r="605" spans="1:13" x14ac:dyDescent="0.25">
      <c r="A605" t="s">
        <v>1144</v>
      </c>
      <c r="B605" t="s">
        <v>1145</v>
      </c>
      <c r="C605">
        <v>41</v>
      </c>
      <c r="D605" t="s">
        <v>13</v>
      </c>
      <c r="E605" s="2">
        <v>45330</v>
      </c>
      <c r="F605" s="2">
        <v>45339</v>
      </c>
      <c r="G605" t="s">
        <v>71</v>
      </c>
      <c r="H605" t="s">
        <v>195</v>
      </c>
      <c r="I605" s="3">
        <v>11620.41</v>
      </c>
      <c r="J605" s="4">
        <v>100</v>
      </c>
      <c r="K605" t="s">
        <v>16</v>
      </c>
      <c r="L605" t="str" cm="1">
        <f t="array" ref="L605">_xlfn.IFS(C605&lt;18,"under 18",C605&lt;36,"btw 18 &amp; 35",C605&lt;51,"btw 36 &amp;50",C605&lt;66,"btw 51 &amp; 66",C605&gt;66,"66 &amp; above")</f>
        <v>btw 36 &amp;50</v>
      </c>
      <c r="M605">
        <f t="shared" si="10"/>
        <v>9</v>
      </c>
    </row>
    <row r="606" spans="1:13" x14ac:dyDescent="0.25">
      <c r="A606" t="s">
        <v>1146</v>
      </c>
      <c r="B606" t="s">
        <v>844</v>
      </c>
      <c r="C606">
        <v>50</v>
      </c>
      <c r="D606" t="s">
        <v>19</v>
      </c>
      <c r="E606" s="2">
        <v>45860</v>
      </c>
      <c r="F606" s="2">
        <v>45863</v>
      </c>
      <c r="G606" t="s">
        <v>24</v>
      </c>
      <c r="H606" t="s">
        <v>29</v>
      </c>
      <c r="I606" s="3">
        <v>3974.41</v>
      </c>
      <c r="J606" s="4">
        <v>50</v>
      </c>
      <c r="K606" t="s">
        <v>16</v>
      </c>
      <c r="L606" t="str" cm="1">
        <f t="array" ref="L606">_xlfn.IFS(C606&lt;18,"under 18",C606&lt;36,"btw 18 &amp; 35",C606&lt;51,"btw 36 &amp;50",C606&lt;66,"btw 51 &amp; 66",C606&gt;66,"66 &amp; above")</f>
        <v>btw 36 &amp;50</v>
      </c>
      <c r="M606">
        <f t="shared" si="10"/>
        <v>3</v>
      </c>
    </row>
    <row r="607" spans="1:13" x14ac:dyDescent="0.25">
      <c r="A607" t="s">
        <v>1147</v>
      </c>
      <c r="B607" t="s">
        <v>487</v>
      </c>
      <c r="C607">
        <v>72</v>
      </c>
      <c r="D607" t="s">
        <v>13</v>
      </c>
      <c r="E607" s="2">
        <v>45453</v>
      </c>
      <c r="F607" s="2">
        <v>45459</v>
      </c>
      <c r="G607" t="s">
        <v>71</v>
      </c>
      <c r="H607" t="s">
        <v>158</v>
      </c>
      <c r="I607" s="3">
        <v>14702.17</v>
      </c>
      <c r="J607" s="4">
        <v>80</v>
      </c>
      <c r="K607" t="s">
        <v>21</v>
      </c>
      <c r="L607" t="str" cm="1">
        <f t="array" ref="L607">_xlfn.IFS(C607&lt;18,"under 18",C607&lt;36,"btw 18 &amp; 35",C607&lt;51,"btw 36 &amp;50",C607&lt;66,"btw 51 &amp; 66",C607&gt;66,"66 &amp; above")</f>
        <v>66 &amp; above</v>
      </c>
      <c r="M607">
        <f t="shared" si="10"/>
        <v>6</v>
      </c>
    </row>
    <row r="608" spans="1:13" x14ac:dyDescent="0.25">
      <c r="A608" t="s">
        <v>1148</v>
      </c>
      <c r="B608" t="s">
        <v>1149</v>
      </c>
      <c r="C608">
        <v>41</v>
      </c>
      <c r="D608" t="s">
        <v>13</v>
      </c>
      <c r="E608" s="2">
        <v>45795</v>
      </c>
      <c r="F608" s="2">
        <v>45802</v>
      </c>
      <c r="G608" t="s">
        <v>14</v>
      </c>
      <c r="H608" t="s">
        <v>166</v>
      </c>
      <c r="I608" s="3">
        <v>17086.830000000002</v>
      </c>
      <c r="J608" s="4">
        <v>90</v>
      </c>
      <c r="K608" t="s">
        <v>16</v>
      </c>
      <c r="L608" t="str" cm="1">
        <f t="array" ref="L608">_xlfn.IFS(C608&lt;18,"under 18",C608&lt;36,"btw 18 &amp; 35",C608&lt;51,"btw 36 &amp;50",C608&lt;66,"btw 51 &amp; 66",C608&gt;66,"66 &amp; above")</f>
        <v>btw 36 &amp;50</v>
      </c>
      <c r="M608">
        <f t="shared" si="10"/>
        <v>7</v>
      </c>
    </row>
    <row r="609" spans="1:13" x14ac:dyDescent="0.25">
      <c r="A609" t="s">
        <v>1150</v>
      </c>
      <c r="B609" t="s">
        <v>821</v>
      </c>
      <c r="C609">
        <v>24</v>
      </c>
      <c r="D609" t="s">
        <v>13</v>
      </c>
      <c r="E609" s="2">
        <v>45304</v>
      </c>
      <c r="F609" s="2">
        <v>45305</v>
      </c>
      <c r="G609" t="s">
        <v>24</v>
      </c>
      <c r="H609" t="s">
        <v>83</v>
      </c>
      <c r="I609" s="3">
        <v>867.61</v>
      </c>
      <c r="J609" s="4">
        <v>100</v>
      </c>
      <c r="K609" t="s">
        <v>16</v>
      </c>
      <c r="L609" t="str" cm="1">
        <f t="array" ref="L609">_xlfn.IFS(C609&lt;18,"under 18",C609&lt;36,"btw 18 &amp; 35",C609&lt;51,"btw 36 &amp;50",C609&lt;66,"btw 51 &amp; 66",C609&gt;66,"66 &amp; above")</f>
        <v>btw 18 &amp; 35</v>
      </c>
      <c r="M609">
        <f t="shared" si="10"/>
        <v>1</v>
      </c>
    </row>
    <row r="610" spans="1:13" x14ac:dyDescent="0.25">
      <c r="A610" t="s">
        <v>1151</v>
      </c>
      <c r="B610" t="s">
        <v>1152</v>
      </c>
      <c r="C610">
        <v>51</v>
      </c>
      <c r="D610" t="s">
        <v>19</v>
      </c>
      <c r="E610" s="2">
        <v>45764</v>
      </c>
      <c r="F610" s="2">
        <v>45770</v>
      </c>
      <c r="G610" t="s">
        <v>32</v>
      </c>
      <c r="H610" t="s">
        <v>33</v>
      </c>
      <c r="I610" s="3">
        <v>4084.48</v>
      </c>
      <c r="J610" s="4">
        <v>80</v>
      </c>
      <c r="K610" t="s">
        <v>16</v>
      </c>
      <c r="L610" t="str" cm="1">
        <f t="array" ref="L610">_xlfn.IFS(C610&lt;18,"under 18",C610&lt;36,"btw 18 &amp; 35",C610&lt;51,"btw 36 &amp;50",C610&lt;66,"btw 51 &amp; 66",C610&gt;66,"66 &amp; above")</f>
        <v>btw 51 &amp; 66</v>
      </c>
      <c r="M610">
        <f t="shared" si="10"/>
        <v>6</v>
      </c>
    </row>
    <row r="611" spans="1:13" x14ac:dyDescent="0.25">
      <c r="A611" t="s">
        <v>1153</v>
      </c>
      <c r="B611" t="s">
        <v>1154</v>
      </c>
      <c r="C611">
        <v>84</v>
      </c>
      <c r="D611" t="s">
        <v>19</v>
      </c>
      <c r="E611" s="2">
        <v>45865</v>
      </c>
      <c r="F611" s="2">
        <v>45866</v>
      </c>
      <c r="G611" t="s">
        <v>32</v>
      </c>
      <c r="H611" t="s">
        <v>36</v>
      </c>
      <c r="I611" s="3">
        <v>1290.53</v>
      </c>
      <c r="J611" s="4">
        <v>90</v>
      </c>
      <c r="K611" t="s">
        <v>16</v>
      </c>
      <c r="L611" t="str" cm="1">
        <f t="array" ref="L611">_xlfn.IFS(C611&lt;18,"under 18",C611&lt;36,"btw 18 &amp; 35",C611&lt;51,"btw 36 &amp;50",C611&lt;66,"btw 51 &amp; 66",C611&gt;66,"66 &amp; above")</f>
        <v>66 &amp; above</v>
      </c>
      <c r="M611">
        <f t="shared" si="10"/>
        <v>1</v>
      </c>
    </row>
    <row r="612" spans="1:13" x14ac:dyDescent="0.25">
      <c r="A612" t="s">
        <v>1155</v>
      </c>
      <c r="B612" t="s">
        <v>722</v>
      </c>
      <c r="C612">
        <v>3</v>
      </c>
      <c r="D612" t="s">
        <v>19</v>
      </c>
      <c r="E612" s="2">
        <v>45643</v>
      </c>
      <c r="F612" s="2">
        <v>45647</v>
      </c>
      <c r="G612" t="s">
        <v>50</v>
      </c>
      <c r="H612" t="s">
        <v>124</v>
      </c>
      <c r="I612" s="3">
        <v>3707.94</v>
      </c>
      <c r="J612" s="4">
        <v>90</v>
      </c>
      <c r="K612" t="s">
        <v>16</v>
      </c>
      <c r="L612" t="str" cm="1">
        <f t="array" ref="L612">_xlfn.IFS(C612&lt;18,"under 18",C612&lt;36,"btw 18 &amp; 35",C612&lt;51,"btw 36 &amp;50",C612&lt;66,"btw 51 &amp; 66",C612&gt;66,"66 &amp; above")</f>
        <v>under 18</v>
      </c>
      <c r="M612">
        <f t="shared" si="10"/>
        <v>4</v>
      </c>
    </row>
    <row r="613" spans="1:13" x14ac:dyDescent="0.25">
      <c r="A613" t="s">
        <v>1156</v>
      </c>
      <c r="B613" t="s">
        <v>1157</v>
      </c>
      <c r="C613">
        <v>57</v>
      </c>
      <c r="D613" t="s">
        <v>13</v>
      </c>
      <c r="E613" s="2">
        <v>45779</v>
      </c>
      <c r="F613" s="2">
        <v>45788</v>
      </c>
      <c r="G613" t="s">
        <v>71</v>
      </c>
      <c r="H613" t="s">
        <v>72</v>
      </c>
      <c r="I613" s="3">
        <v>15346.13</v>
      </c>
      <c r="J613" s="4">
        <v>80</v>
      </c>
      <c r="K613" t="s">
        <v>16</v>
      </c>
      <c r="L613" t="str" cm="1">
        <f t="array" ref="L613">_xlfn.IFS(C613&lt;18,"under 18",C613&lt;36,"btw 18 &amp; 35",C613&lt;51,"btw 36 &amp;50",C613&lt;66,"btw 51 &amp; 66",C613&gt;66,"66 &amp; above")</f>
        <v>btw 51 &amp; 66</v>
      </c>
      <c r="M613">
        <f t="shared" si="10"/>
        <v>9</v>
      </c>
    </row>
    <row r="614" spans="1:13" x14ac:dyDescent="0.25">
      <c r="A614" t="s">
        <v>1158</v>
      </c>
      <c r="B614" t="s">
        <v>1159</v>
      </c>
      <c r="C614">
        <v>45</v>
      </c>
      <c r="D614" t="s">
        <v>19</v>
      </c>
      <c r="E614" s="2">
        <v>45749</v>
      </c>
      <c r="F614" s="2">
        <v>45754</v>
      </c>
      <c r="G614" t="s">
        <v>32</v>
      </c>
      <c r="H614" t="s">
        <v>54</v>
      </c>
      <c r="I614" s="3">
        <v>4821.37</v>
      </c>
      <c r="J614" s="4">
        <v>80</v>
      </c>
      <c r="K614" t="s">
        <v>16</v>
      </c>
      <c r="L614" t="str" cm="1">
        <f t="array" ref="L614">_xlfn.IFS(C614&lt;18,"under 18",C614&lt;36,"btw 18 &amp; 35",C614&lt;51,"btw 36 &amp;50",C614&lt;66,"btw 51 &amp; 66",C614&gt;66,"66 &amp; above")</f>
        <v>btw 36 &amp;50</v>
      </c>
      <c r="M614">
        <f t="shared" si="10"/>
        <v>5</v>
      </c>
    </row>
    <row r="615" spans="1:13" x14ac:dyDescent="0.25">
      <c r="A615" t="s">
        <v>1160</v>
      </c>
      <c r="B615" t="s">
        <v>1161</v>
      </c>
      <c r="C615">
        <v>69</v>
      </c>
      <c r="D615" t="s">
        <v>13</v>
      </c>
      <c r="E615" s="2">
        <v>45894</v>
      </c>
      <c r="F615" s="2">
        <v>45901</v>
      </c>
      <c r="G615" t="s">
        <v>14</v>
      </c>
      <c r="H615" t="s">
        <v>103</v>
      </c>
      <c r="I615" s="3">
        <v>15787.69</v>
      </c>
      <c r="J615" s="4">
        <v>100</v>
      </c>
      <c r="K615" t="s">
        <v>16</v>
      </c>
      <c r="L615" t="str" cm="1">
        <f t="array" ref="L615">_xlfn.IFS(C615&lt;18,"under 18",C615&lt;36,"btw 18 &amp; 35",C615&lt;51,"btw 36 &amp;50",C615&lt;66,"btw 51 &amp; 66",C615&gt;66,"66 &amp; above")</f>
        <v>66 &amp; above</v>
      </c>
      <c r="M615">
        <f t="shared" si="10"/>
        <v>7</v>
      </c>
    </row>
    <row r="616" spans="1:13" x14ac:dyDescent="0.25">
      <c r="A616" t="s">
        <v>1162</v>
      </c>
      <c r="B616" t="s">
        <v>1096</v>
      </c>
      <c r="C616">
        <v>14</v>
      </c>
      <c r="D616" t="s">
        <v>19</v>
      </c>
      <c r="E616" s="2">
        <v>45923</v>
      </c>
      <c r="F616" s="2">
        <v>45926</v>
      </c>
      <c r="G616" t="s">
        <v>50</v>
      </c>
      <c r="H616" t="s">
        <v>121</v>
      </c>
      <c r="I616" s="3">
        <v>5118.0600000000004</v>
      </c>
      <c r="J616" s="4">
        <v>80</v>
      </c>
      <c r="K616" t="s">
        <v>16</v>
      </c>
      <c r="L616" t="str" cm="1">
        <f t="array" ref="L616">_xlfn.IFS(C616&lt;18,"under 18",C616&lt;36,"btw 18 &amp; 35",C616&lt;51,"btw 36 &amp;50",C616&lt;66,"btw 51 &amp; 66",C616&gt;66,"66 &amp; above")</f>
        <v>under 18</v>
      </c>
      <c r="M616">
        <f t="shared" si="10"/>
        <v>3</v>
      </c>
    </row>
    <row r="617" spans="1:13" x14ac:dyDescent="0.25">
      <c r="A617" t="s">
        <v>1163</v>
      </c>
      <c r="B617" t="s">
        <v>1164</v>
      </c>
      <c r="C617">
        <v>36</v>
      </c>
      <c r="D617" t="s">
        <v>19</v>
      </c>
      <c r="E617" s="2">
        <v>45643</v>
      </c>
      <c r="F617" s="2">
        <v>45644</v>
      </c>
      <c r="G617" t="s">
        <v>24</v>
      </c>
      <c r="H617" t="s">
        <v>42</v>
      </c>
      <c r="I617" s="3">
        <v>1184.98</v>
      </c>
      <c r="J617" s="4">
        <v>80</v>
      </c>
      <c r="K617" t="s">
        <v>16</v>
      </c>
      <c r="L617" t="str" cm="1">
        <f t="array" ref="L617">_xlfn.IFS(C617&lt;18,"under 18",C617&lt;36,"btw 18 &amp; 35",C617&lt;51,"btw 36 &amp;50",C617&lt;66,"btw 51 &amp; 66",C617&gt;66,"66 &amp; above")</f>
        <v>btw 36 &amp;50</v>
      </c>
      <c r="M617">
        <f t="shared" si="10"/>
        <v>1</v>
      </c>
    </row>
    <row r="618" spans="1:13" x14ac:dyDescent="0.25">
      <c r="A618" t="s">
        <v>1165</v>
      </c>
      <c r="B618" t="s">
        <v>1166</v>
      </c>
      <c r="C618">
        <v>16</v>
      </c>
      <c r="D618" t="s">
        <v>19</v>
      </c>
      <c r="E618" s="2">
        <v>45317</v>
      </c>
      <c r="F618" s="2">
        <v>45320</v>
      </c>
      <c r="G618" t="s">
        <v>50</v>
      </c>
      <c r="H618" t="s">
        <v>379</v>
      </c>
      <c r="I618" s="3">
        <v>2558.2800000000002</v>
      </c>
      <c r="J618" s="4">
        <v>90</v>
      </c>
      <c r="K618" t="s">
        <v>16</v>
      </c>
      <c r="L618" t="str" cm="1">
        <f t="array" ref="L618">_xlfn.IFS(C618&lt;18,"under 18",C618&lt;36,"btw 18 &amp; 35",C618&lt;51,"btw 36 &amp;50",C618&lt;66,"btw 51 &amp; 66",C618&gt;66,"66 &amp; above")</f>
        <v>under 18</v>
      </c>
      <c r="M618">
        <f t="shared" si="10"/>
        <v>3</v>
      </c>
    </row>
    <row r="619" spans="1:13" x14ac:dyDescent="0.25">
      <c r="A619" t="s">
        <v>1167</v>
      </c>
      <c r="B619" t="s">
        <v>1168</v>
      </c>
      <c r="C619">
        <v>76</v>
      </c>
      <c r="D619" t="s">
        <v>13</v>
      </c>
      <c r="E619" s="2">
        <v>45670</v>
      </c>
      <c r="F619" s="2">
        <v>45673</v>
      </c>
      <c r="G619" t="s">
        <v>14</v>
      </c>
      <c r="H619" t="s">
        <v>112</v>
      </c>
      <c r="I619" s="3">
        <v>3998.34</v>
      </c>
      <c r="J619" s="4">
        <v>100</v>
      </c>
      <c r="K619" t="s">
        <v>16</v>
      </c>
      <c r="L619" t="str" cm="1">
        <f t="array" ref="L619">_xlfn.IFS(C619&lt;18,"under 18",C619&lt;36,"btw 18 &amp; 35",C619&lt;51,"btw 36 &amp;50",C619&lt;66,"btw 51 &amp; 66",C619&gt;66,"66 &amp; above")</f>
        <v>66 &amp; above</v>
      </c>
      <c r="M619">
        <f t="shared" si="10"/>
        <v>3</v>
      </c>
    </row>
    <row r="620" spans="1:13" x14ac:dyDescent="0.25">
      <c r="A620" t="s">
        <v>1169</v>
      </c>
      <c r="B620" t="s">
        <v>230</v>
      </c>
      <c r="C620">
        <v>68</v>
      </c>
      <c r="D620" t="s">
        <v>19</v>
      </c>
      <c r="E620" s="2">
        <v>45626</v>
      </c>
      <c r="F620" s="2">
        <v>45629</v>
      </c>
      <c r="G620" t="s">
        <v>61</v>
      </c>
      <c r="H620" t="s">
        <v>75</v>
      </c>
      <c r="I620" s="3">
        <v>4286.6400000000003</v>
      </c>
      <c r="J620" s="4">
        <v>70</v>
      </c>
      <c r="K620" t="s">
        <v>21</v>
      </c>
      <c r="L620" t="str" cm="1">
        <f t="array" ref="L620">_xlfn.IFS(C620&lt;18,"under 18",C620&lt;36,"btw 18 &amp; 35",C620&lt;51,"btw 36 &amp;50",C620&lt;66,"btw 51 &amp; 66",C620&gt;66,"66 &amp; above")</f>
        <v>66 &amp; above</v>
      </c>
      <c r="M620">
        <f t="shared" si="10"/>
        <v>3</v>
      </c>
    </row>
    <row r="621" spans="1:13" x14ac:dyDescent="0.25">
      <c r="A621" t="s">
        <v>1170</v>
      </c>
      <c r="B621" t="s">
        <v>896</v>
      </c>
      <c r="C621">
        <v>73</v>
      </c>
      <c r="D621" t="s">
        <v>19</v>
      </c>
      <c r="E621" s="2">
        <v>45956</v>
      </c>
      <c r="F621" s="2">
        <v>45965</v>
      </c>
      <c r="G621" t="s">
        <v>14</v>
      </c>
      <c r="H621" t="s">
        <v>39</v>
      </c>
      <c r="I621" s="3">
        <v>21392.04</v>
      </c>
      <c r="J621" s="4">
        <v>80</v>
      </c>
      <c r="K621" t="s">
        <v>16</v>
      </c>
      <c r="L621" t="str" cm="1">
        <f t="array" ref="L621">_xlfn.IFS(C621&lt;18,"under 18",C621&lt;36,"btw 18 &amp; 35",C621&lt;51,"btw 36 &amp;50",C621&lt;66,"btw 51 &amp; 66",C621&gt;66,"66 &amp; above")</f>
        <v>66 &amp; above</v>
      </c>
      <c r="M621">
        <f t="shared" si="10"/>
        <v>9</v>
      </c>
    </row>
    <row r="622" spans="1:13" x14ac:dyDescent="0.25">
      <c r="A622" t="s">
        <v>1171</v>
      </c>
      <c r="B622" t="s">
        <v>1172</v>
      </c>
      <c r="C622">
        <v>37</v>
      </c>
      <c r="D622" t="s">
        <v>13</v>
      </c>
      <c r="E622" s="2">
        <v>45983</v>
      </c>
      <c r="F622" s="2">
        <v>45985</v>
      </c>
      <c r="G622" t="s">
        <v>24</v>
      </c>
      <c r="H622" t="s">
        <v>42</v>
      </c>
      <c r="I622" s="3">
        <v>3201.39</v>
      </c>
      <c r="J622" s="4">
        <v>80</v>
      </c>
      <c r="K622" t="s">
        <v>16</v>
      </c>
      <c r="L622" t="str" cm="1">
        <f t="array" ref="L622">_xlfn.IFS(C622&lt;18,"under 18",C622&lt;36,"btw 18 &amp; 35",C622&lt;51,"btw 36 &amp;50",C622&lt;66,"btw 51 &amp; 66",C622&gt;66,"66 &amp; above")</f>
        <v>btw 36 &amp;50</v>
      </c>
      <c r="M622">
        <f t="shared" si="10"/>
        <v>2</v>
      </c>
    </row>
    <row r="623" spans="1:13" x14ac:dyDescent="0.25">
      <c r="A623" t="s">
        <v>1173</v>
      </c>
      <c r="B623" t="s">
        <v>800</v>
      </c>
      <c r="C623">
        <v>11</v>
      </c>
      <c r="D623" t="s">
        <v>13</v>
      </c>
      <c r="E623" s="2">
        <v>45501</v>
      </c>
      <c r="F623" s="2">
        <v>45503</v>
      </c>
      <c r="G623" t="s">
        <v>50</v>
      </c>
      <c r="H623" t="s">
        <v>121</v>
      </c>
      <c r="I623" s="3">
        <v>3300.07</v>
      </c>
      <c r="J623" s="4">
        <v>100</v>
      </c>
      <c r="K623" t="s">
        <v>16</v>
      </c>
      <c r="L623" t="str" cm="1">
        <f t="array" ref="L623">_xlfn.IFS(C623&lt;18,"under 18",C623&lt;36,"btw 18 &amp; 35",C623&lt;51,"btw 36 &amp;50",C623&lt;66,"btw 51 &amp; 66",C623&gt;66,"66 &amp; above")</f>
        <v>under 18</v>
      </c>
      <c r="M623">
        <f t="shared" si="10"/>
        <v>2</v>
      </c>
    </row>
    <row r="624" spans="1:13" x14ac:dyDescent="0.25">
      <c r="A624" t="s">
        <v>1174</v>
      </c>
      <c r="B624" t="s">
        <v>1175</v>
      </c>
      <c r="C624">
        <v>7</v>
      </c>
      <c r="D624" t="s">
        <v>13</v>
      </c>
      <c r="E624" s="2">
        <v>45812</v>
      </c>
      <c r="F624" s="2">
        <v>45813</v>
      </c>
      <c r="G624" t="s">
        <v>50</v>
      </c>
      <c r="H624" t="s">
        <v>124</v>
      </c>
      <c r="I624" s="3">
        <v>784.49</v>
      </c>
      <c r="J624" s="4">
        <v>90</v>
      </c>
      <c r="K624" t="s">
        <v>16</v>
      </c>
      <c r="L624" t="str" cm="1">
        <f t="array" ref="L624">_xlfn.IFS(C624&lt;18,"under 18",C624&lt;36,"btw 18 &amp; 35",C624&lt;51,"btw 36 &amp;50",C624&lt;66,"btw 51 &amp; 66",C624&gt;66,"66 &amp; above")</f>
        <v>under 18</v>
      </c>
      <c r="M624">
        <f t="shared" si="10"/>
        <v>1</v>
      </c>
    </row>
    <row r="625" spans="1:13" x14ac:dyDescent="0.25">
      <c r="A625" t="s">
        <v>1176</v>
      </c>
      <c r="B625" t="s">
        <v>1177</v>
      </c>
      <c r="C625">
        <v>26</v>
      </c>
      <c r="D625" t="s">
        <v>13</v>
      </c>
      <c r="E625" s="2">
        <v>45695</v>
      </c>
      <c r="F625" s="2">
        <v>45696</v>
      </c>
      <c r="G625" t="s">
        <v>32</v>
      </c>
      <c r="H625" t="s">
        <v>45</v>
      </c>
      <c r="I625" s="3">
        <v>1170.5999999999999</v>
      </c>
      <c r="J625" s="4">
        <v>80</v>
      </c>
      <c r="K625" t="s">
        <v>16</v>
      </c>
      <c r="L625" t="str" cm="1">
        <f t="array" ref="L625">_xlfn.IFS(C625&lt;18,"under 18",C625&lt;36,"btw 18 &amp; 35",C625&lt;51,"btw 36 &amp;50",C625&lt;66,"btw 51 &amp; 66",C625&gt;66,"66 &amp; above")</f>
        <v>btw 18 &amp; 35</v>
      </c>
      <c r="M625">
        <f t="shared" si="10"/>
        <v>1</v>
      </c>
    </row>
    <row r="626" spans="1:13" x14ac:dyDescent="0.25">
      <c r="A626" t="s">
        <v>1178</v>
      </c>
      <c r="B626" t="s">
        <v>370</v>
      </c>
      <c r="C626">
        <v>61</v>
      </c>
      <c r="D626" t="s">
        <v>13</v>
      </c>
      <c r="E626" s="2">
        <v>45600</v>
      </c>
      <c r="F626" s="2">
        <v>45604</v>
      </c>
      <c r="G626" t="s">
        <v>14</v>
      </c>
      <c r="H626" t="s">
        <v>15</v>
      </c>
      <c r="I626" s="3">
        <v>11503.8</v>
      </c>
      <c r="J626" s="4">
        <v>60</v>
      </c>
      <c r="K626" t="s">
        <v>26</v>
      </c>
      <c r="L626" t="str" cm="1">
        <f t="array" ref="L626">_xlfn.IFS(C626&lt;18,"under 18",C626&lt;36,"btw 18 &amp; 35",C626&lt;51,"btw 36 &amp;50",C626&lt;66,"btw 51 &amp; 66",C626&gt;66,"66 &amp; above")</f>
        <v>btw 51 &amp; 66</v>
      </c>
      <c r="M626">
        <f t="shared" si="10"/>
        <v>4</v>
      </c>
    </row>
    <row r="627" spans="1:13" x14ac:dyDescent="0.25">
      <c r="A627" t="s">
        <v>1179</v>
      </c>
      <c r="B627" t="s">
        <v>405</v>
      </c>
      <c r="C627">
        <v>8</v>
      </c>
      <c r="D627" t="s">
        <v>19</v>
      </c>
      <c r="E627" s="2">
        <v>45836</v>
      </c>
      <c r="F627" s="2">
        <v>45838</v>
      </c>
      <c r="G627" t="s">
        <v>50</v>
      </c>
      <c r="H627" t="s">
        <v>131</v>
      </c>
      <c r="I627" s="3">
        <v>1522.86</v>
      </c>
      <c r="J627" s="4">
        <v>90</v>
      </c>
      <c r="K627" t="s">
        <v>21</v>
      </c>
      <c r="L627" t="str" cm="1">
        <f t="array" ref="L627">_xlfn.IFS(C627&lt;18,"under 18",C627&lt;36,"btw 18 &amp; 35",C627&lt;51,"btw 36 &amp;50",C627&lt;66,"btw 51 &amp; 66",C627&gt;66,"66 &amp; above")</f>
        <v>under 18</v>
      </c>
      <c r="M627">
        <f t="shared" si="10"/>
        <v>2</v>
      </c>
    </row>
    <row r="628" spans="1:13" x14ac:dyDescent="0.25">
      <c r="A628" t="s">
        <v>1180</v>
      </c>
      <c r="B628" t="s">
        <v>271</v>
      </c>
      <c r="C628">
        <v>78</v>
      </c>
      <c r="D628" t="s">
        <v>19</v>
      </c>
      <c r="E628" s="2">
        <v>45705</v>
      </c>
      <c r="F628" s="2">
        <v>45715</v>
      </c>
      <c r="G628" t="s">
        <v>71</v>
      </c>
      <c r="H628" t="s">
        <v>95</v>
      </c>
      <c r="I628" s="3">
        <v>22757.119999999999</v>
      </c>
      <c r="J628" s="4">
        <v>90</v>
      </c>
      <c r="K628" t="s">
        <v>16</v>
      </c>
      <c r="L628" t="str" cm="1">
        <f t="array" ref="L628">_xlfn.IFS(C628&lt;18,"under 18",C628&lt;36,"btw 18 &amp; 35",C628&lt;51,"btw 36 &amp;50",C628&lt;66,"btw 51 &amp; 66",C628&gt;66,"66 &amp; above")</f>
        <v>66 &amp; above</v>
      </c>
      <c r="M628">
        <f t="shared" si="10"/>
        <v>10</v>
      </c>
    </row>
    <row r="629" spans="1:13" x14ac:dyDescent="0.25">
      <c r="A629" t="s">
        <v>1181</v>
      </c>
      <c r="B629" t="s">
        <v>976</v>
      </c>
      <c r="C629">
        <v>11</v>
      </c>
      <c r="D629" t="s">
        <v>13</v>
      </c>
      <c r="E629" s="2">
        <v>45536</v>
      </c>
      <c r="F629" s="2">
        <v>45541</v>
      </c>
      <c r="G629" t="s">
        <v>50</v>
      </c>
      <c r="H629" t="s">
        <v>124</v>
      </c>
      <c r="I629" s="3">
        <v>3197.15</v>
      </c>
      <c r="J629" s="4">
        <v>70</v>
      </c>
      <c r="K629" t="s">
        <v>26</v>
      </c>
      <c r="L629" t="str" cm="1">
        <f t="array" ref="L629">_xlfn.IFS(C629&lt;18,"under 18",C629&lt;36,"btw 18 &amp; 35",C629&lt;51,"btw 36 &amp;50",C629&lt;66,"btw 51 &amp; 66",C629&gt;66,"66 &amp; above")</f>
        <v>under 18</v>
      </c>
      <c r="M629">
        <f t="shared" si="10"/>
        <v>5</v>
      </c>
    </row>
    <row r="630" spans="1:13" x14ac:dyDescent="0.25">
      <c r="A630" t="s">
        <v>1182</v>
      </c>
      <c r="B630" t="s">
        <v>1183</v>
      </c>
      <c r="C630">
        <v>73</v>
      </c>
      <c r="D630" t="s">
        <v>19</v>
      </c>
      <c r="E630" s="2">
        <v>45441</v>
      </c>
      <c r="F630" s="2">
        <v>45443</v>
      </c>
      <c r="G630" t="s">
        <v>32</v>
      </c>
      <c r="H630" t="s">
        <v>33</v>
      </c>
      <c r="I630" s="3">
        <v>2710.85</v>
      </c>
      <c r="J630" s="4">
        <v>60</v>
      </c>
      <c r="K630" t="s">
        <v>21</v>
      </c>
      <c r="L630" t="str" cm="1">
        <f t="array" ref="L630">_xlfn.IFS(C630&lt;18,"under 18",C630&lt;36,"btw 18 &amp; 35",C630&lt;51,"btw 36 &amp;50",C630&lt;66,"btw 51 &amp; 66",C630&gt;66,"66 &amp; above")</f>
        <v>66 &amp; above</v>
      </c>
      <c r="M630">
        <f t="shared" si="10"/>
        <v>2</v>
      </c>
    </row>
    <row r="631" spans="1:13" x14ac:dyDescent="0.25">
      <c r="A631" t="s">
        <v>1184</v>
      </c>
      <c r="B631" t="s">
        <v>1185</v>
      </c>
      <c r="C631">
        <v>84</v>
      </c>
      <c r="D631" t="s">
        <v>19</v>
      </c>
      <c r="E631" s="2">
        <v>45918</v>
      </c>
      <c r="F631" s="2">
        <v>45920</v>
      </c>
      <c r="G631" t="s">
        <v>24</v>
      </c>
      <c r="H631" t="s">
        <v>205</v>
      </c>
      <c r="I631" s="3">
        <v>4532.09</v>
      </c>
      <c r="J631" s="4">
        <v>90</v>
      </c>
      <c r="K631" t="s">
        <v>21</v>
      </c>
      <c r="L631" t="str" cm="1">
        <f t="array" ref="L631">_xlfn.IFS(C631&lt;18,"under 18",C631&lt;36,"btw 18 &amp; 35",C631&lt;51,"btw 36 &amp;50",C631&lt;66,"btw 51 &amp; 66",C631&gt;66,"66 &amp; above")</f>
        <v>66 &amp; above</v>
      </c>
      <c r="M631">
        <f t="shared" si="10"/>
        <v>2</v>
      </c>
    </row>
    <row r="632" spans="1:13" x14ac:dyDescent="0.25">
      <c r="A632" t="s">
        <v>1186</v>
      </c>
      <c r="B632" t="s">
        <v>1187</v>
      </c>
      <c r="C632">
        <v>43</v>
      </c>
      <c r="D632" t="s">
        <v>13</v>
      </c>
      <c r="E632" s="2">
        <v>45857</v>
      </c>
      <c r="F632" s="2">
        <v>45860</v>
      </c>
      <c r="G632" t="s">
        <v>61</v>
      </c>
      <c r="H632" t="s">
        <v>62</v>
      </c>
      <c r="I632" s="3">
        <v>4972.62</v>
      </c>
      <c r="J632" s="4">
        <v>80</v>
      </c>
      <c r="K632" t="s">
        <v>16</v>
      </c>
      <c r="L632" t="str" cm="1">
        <f t="array" ref="L632">_xlfn.IFS(C632&lt;18,"under 18",C632&lt;36,"btw 18 &amp; 35",C632&lt;51,"btw 36 &amp;50",C632&lt;66,"btw 51 &amp; 66",C632&gt;66,"66 &amp; above")</f>
        <v>btw 36 &amp;50</v>
      </c>
      <c r="M632">
        <f t="shared" si="10"/>
        <v>3</v>
      </c>
    </row>
    <row r="633" spans="1:13" x14ac:dyDescent="0.25">
      <c r="A633" t="s">
        <v>1188</v>
      </c>
      <c r="B633" t="s">
        <v>875</v>
      </c>
      <c r="C633">
        <v>1</v>
      </c>
      <c r="D633" t="s">
        <v>13</v>
      </c>
      <c r="E633" s="2">
        <v>45609</v>
      </c>
      <c r="F633" s="2">
        <v>45611</v>
      </c>
      <c r="G633" t="s">
        <v>50</v>
      </c>
      <c r="H633" t="s">
        <v>379</v>
      </c>
      <c r="I633" s="3">
        <v>3235.05</v>
      </c>
      <c r="J633" s="4">
        <v>70</v>
      </c>
      <c r="K633" t="s">
        <v>16</v>
      </c>
      <c r="L633" t="str" cm="1">
        <f t="array" ref="L633">_xlfn.IFS(C633&lt;18,"under 18",C633&lt;36,"btw 18 &amp; 35",C633&lt;51,"btw 36 &amp;50",C633&lt;66,"btw 51 &amp; 66",C633&gt;66,"66 &amp; above")</f>
        <v>under 18</v>
      </c>
      <c r="M633">
        <f t="shared" si="10"/>
        <v>2</v>
      </c>
    </row>
    <row r="634" spans="1:13" x14ac:dyDescent="0.25">
      <c r="A634" t="s">
        <v>1189</v>
      </c>
      <c r="B634" t="s">
        <v>1190</v>
      </c>
      <c r="C634">
        <v>49</v>
      </c>
      <c r="D634" t="s">
        <v>19</v>
      </c>
      <c r="E634" s="2">
        <v>45937</v>
      </c>
      <c r="F634" s="2">
        <v>45939</v>
      </c>
      <c r="G634" t="s">
        <v>32</v>
      </c>
      <c r="H634" t="s">
        <v>115</v>
      </c>
      <c r="I634" s="3">
        <v>2401.17</v>
      </c>
      <c r="J634" s="4">
        <v>90</v>
      </c>
      <c r="K634" t="s">
        <v>21</v>
      </c>
      <c r="L634" t="str" cm="1">
        <f t="array" ref="L634">_xlfn.IFS(C634&lt;18,"under 18",C634&lt;36,"btw 18 &amp; 35",C634&lt;51,"btw 36 &amp;50",C634&lt;66,"btw 51 &amp; 66",C634&gt;66,"66 &amp; above")</f>
        <v>btw 36 &amp;50</v>
      </c>
      <c r="M634">
        <f t="shared" si="10"/>
        <v>2</v>
      </c>
    </row>
    <row r="635" spans="1:13" x14ac:dyDescent="0.25">
      <c r="A635" t="s">
        <v>1191</v>
      </c>
      <c r="B635" t="s">
        <v>1192</v>
      </c>
      <c r="C635">
        <v>51</v>
      </c>
      <c r="D635" t="s">
        <v>19</v>
      </c>
      <c r="E635" s="2">
        <v>45419</v>
      </c>
      <c r="F635" s="2">
        <v>45431</v>
      </c>
      <c r="G635" t="s">
        <v>61</v>
      </c>
      <c r="H635" t="s">
        <v>143</v>
      </c>
      <c r="I635" s="3">
        <v>33210.050000000003</v>
      </c>
      <c r="J635" s="4">
        <v>80</v>
      </c>
      <c r="K635" t="s">
        <v>21</v>
      </c>
      <c r="L635" t="str" cm="1">
        <f t="array" ref="L635">_xlfn.IFS(C635&lt;18,"under 18",C635&lt;36,"btw 18 &amp; 35",C635&lt;51,"btw 36 &amp;50",C635&lt;66,"btw 51 &amp; 66",C635&gt;66,"66 &amp; above")</f>
        <v>btw 51 &amp; 66</v>
      </c>
      <c r="M635">
        <f t="shared" si="10"/>
        <v>12</v>
      </c>
    </row>
    <row r="636" spans="1:13" x14ac:dyDescent="0.25">
      <c r="A636" t="s">
        <v>1193</v>
      </c>
      <c r="B636" t="s">
        <v>894</v>
      </c>
      <c r="C636">
        <v>73</v>
      </c>
      <c r="D636" t="s">
        <v>19</v>
      </c>
      <c r="E636" s="2">
        <v>45643</v>
      </c>
      <c r="F636" s="2">
        <v>45653</v>
      </c>
      <c r="G636" t="s">
        <v>61</v>
      </c>
      <c r="H636" t="s">
        <v>75</v>
      </c>
      <c r="I636" s="3">
        <v>23689.65</v>
      </c>
      <c r="J636" s="4">
        <v>90</v>
      </c>
      <c r="K636" t="s">
        <v>16</v>
      </c>
      <c r="L636" t="str" cm="1">
        <f t="array" ref="L636">_xlfn.IFS(C636&lt;18,"under 18",C636&lt;36,"btw 18 &amp; 35",C636&lt;51,"btw 36 &amp;50",C636&lt;66,"btw 51 &amp; 66",C636&gt;66,"66 &amp; above")</f>
        <v>66 &amp; above</v>
      </c>
      <c r="M636">
        <f t="shared" si="10"/>
        <v>10</v>
      </c>
    </row>
    <row r="637" spans="1:13" x14ac:dyDescent="0.25">
      <c r="A637" t="s">
        <v>1194</v>
      </c>
      <c r="B637" t="s">
        <v>1195</v>
      </c>
      <c r="C637">
        <v>26</v>
      </c>
      <c r="D637" t="s">
        <v>13</v>
      </c>
      <c r="E637" s="2">
        <v>45960</v>
      </c>
      <c r="F637" s="2">
        <v>45963</v>
      </c>
      <c r="G637" t="s">
        <v>32</v>
      </c>
      <c r="H637" t="s">
        <v>33</v>
      </c>
      <c r="I637" s="3">
        <v>2927.98</v>
      </c>
      <c r="J637" s="4">
        <v>100</v>
      </c>
      <c r="K637" t="s">
        <v>16</v>
      </c>
      <c r="L637" t="str" cm="1">
        <f t="array" ref="L637">_xlfn.IFS(C637&lt;18,"under 18",C637&lt;36,"btw 18 &amp; 35",C637&lt;51,"btw 36 &amp;50",C637&lt;66,"btw 51 &amp; 66",C637&gt;66,"66 &amp; above")</f>
        <v>btw 18 &amp; 35</v>
      </c>
      <c r="M637">
        <f t="shared" si="10"/>
        <v>3</v>
      </c>
    </row>
    <row r="638" spans="1:13" x14ac:dyDescent="0.25">
      <c r="A638" t="s">
        <v>1196</v>
      </c>
      <c r="B638" t="s">
        <v>1197</v>
      </c>
      <c r="C638">
        <v>58</v>
      </c>
      <c r="D638" t="s">
        <v>19</v>
      </c>
      <c r="E638" s="2">
        <v>45760</v>
      </c>
      <c r="F638" s="2">
        <v>45769</v>
      </c>
      <c r="G638" t="s">
        <v>14</v>
      </c>
      <c r="H638" t="s">
        <v>103</v>
      </c>
      <c r="I638" s="3">
        <v>10908.77</v>
      </c>
      <c r="J638" s="4">
        <v>90</v>
      </c>
      <c r="K638" t="s">
        <v>21</v>
      </c>
      <c r="L638" t="str" cm="1">
        <f t="array" ref="L638">_xlfn.IFS(C638&lt;18,"under 18",C638&lt;36,"btw 18 &amp; 35",C638&lt;51,"btw 36 &amp;50",C638&lt;66,"btw 51 &amp; 66",C638&gt;66,"66 &amp; above")</f>
        <v>btw 51 &amp; 66</v>
      </c>
      <c r="M638">
        <f t="shared" si="10"/>
        <v>9</v>
      </c>
    </row>
    <row r="639" spans="1:13" x14ac:dyDescent="0.25">
      <c r="A639" t="s">
        <v>1198</v>
      </c>
      <c r="B639" t="s">
        <v>1199</v>
      </c>
      <c r="C639">
        <v>65</v>
      </c>
      <c r="D639" t="s">
        <v>13</v>
      </c>
      <c r="E639" s="2">
        <v>45478</v>
      </c>
      <c r="F639" s="2">
        <v>45483</v>
      </c>
      <c r="G639" t="s">
        <v>14</v>
      </c>
      <c r="H639" t="s">
        <v>20</v>
      </c>
      <c r="I639" s="3">
        <v>9405.2000000000007</v>
      </c>
      <c r="J639" s="4">
        <v>70</v>
      </c>
      <c r="K639" t="s">
        <v>21</v>
      </c>
      <c r="L639" t="str" cm="1">
        <f t="array" ref="L639">_xlfn.IFS(C639&lt;18,"under 18",C639&lt;36,"btw 18 &amp; 35",C639&lt;51,"btw 36 &amp;50",C639&lt;66,"btw 51 &amp; 66",C639&gt;66,"66 &amp; above")</f>
        <v>btw 51 &amp; 66</v>
      </c>
      <c r="M639">
        <f t="shared" si="10"/>
        <v>5</v>
      </c>
    </row>
    <row r="640" spans="1:13" x14ac:dyDescent="0.25">
      <c r="A640" t="s">
        <v>1200</v>
      </c>
      <c r="B640" t="s">
        <v>784</v>
      </c>
      <c r="C640">
        <v>37</v>
      </c>
      <c r="D640" t="s">
        <v>19</v>
      </c>
      <c r="E640" s="2">
        <v>45888</v>
      </c>
      <c r="F640" s="2">
        <v>45896</v>
      </c>
      <c r="G640" t="s">
        <v>71</v>
      </c>
      <c r="H640" t="s">
        <v>72</v>
      </c>
      <c r="I640" s="3">
        <v>11960.8</v>
      </c>
      <c r="J640" s="4">
        <v>80</v>
      </c>
      <c r="K640" t="s">
        <v>16</v>
      </c>
      <c r="L640" t="str" cm="1">
        <f t="array" ref="L640">_xlfn.IFS(C640&lt;18,"under 18",C640&lt;36,"btw 18 &amp; 35",C640&lt;51,"btw 36 &amp;50",C640&lt;66,"btw 51 &amp; 66",C640&gt;66,"66 &amp; above")</f>
        <v>btw 36 &amp;50</v>
      </c>
      <c r="M640">
        <f t="shared" si="10"/>
        <v>8</v>
      </c>
    </row>
    <row r="641" spans="1:13" x14ac:dyDescent="0.25">
      <c r="A641" t="s">
        <v>1201</v>
      </c>
      <c r="B641" t="s">
        <v>1202</v>
      </c>
      <c r="C641">
        <v>68</v>
      </c>
      <c r="D641" t="s">
        <v>13</v>
      </c>
      <c r="E641" s="2">
        <v>45537</v>
      </c>
      <c r="F641" s="2">
        <v>45538</v>
      </c>
      <c r="G641" t="s">
        <v>32</v>
      </c>
      <c r="H641" t="s">
        <v>45</v>
      </c>
      <c r="I641" s="3">
        <v>1174.7</v>
      </c>
      <c r="J641" s="4">
        <v>90</v>
      </c>
      <c r="K641" t="s">
        <v>21</v>
      </c>
      <c r="L641" t="str" cm="1">
        <f t="array" ref="L641">_xlfn.IFS(C641&lt;18,"under 18",C641&lt;36,"btw 18 &amp; 35",C641&lt;51,"btw 36 &amp;50",C641&lt;66,"btw 51 &amp; 66",C641&gt;66,"66 &amp; above")</f>
        <v>66 &amp; above</v>
      </c>
      <c r="M641">
        <f t="shared" si="10"/>
        <v>1</v>
      </c>
    </row>
    <row r="642" spans="1:13" x14ac:dyDescent="0.25">
      <c r="A642" t="s">
        <v>1203</v>
      </c>
      <c r="B642" t="s">
        <v>1204</v>
      </c>
      <c r="C642">
        <v>41</v>
      </c>
      <c r="D642" t="s">
        <v>13</v>
      </c>
      <c r="E642" s="2">
        <v>45314</v>
      </c>
      <c r="F642" s="2">
        <v>45321</v>
      </c>
      <c r="G642" t="s">
        <v>32</v>
      </c>
      <c r="H642" t="s">
        <v>235</v>
      </c>
      <c r="I642" s="3">
        <v>6487.34</v>
      </c>
      <c r="J642" s="4">
        <v>80</v>
      </c>
      <c r="K642" t="s">
        <v>16</v>
      </c>
      <c r="L642" t="str" cm="1">
        <f t="array" ref="L642">_xlfn.IFS(C642&lt;18,"under 18",C642&lt;36,"btw 18 &amp; 35",C642&lt;51,"btw 36 &amp;50",C642&lt;66,"btw 51 &amp; 66",C642&gt;66,"66 &amp; above")</f>
        <v>btw 36 &amp;50</v>
      </c>
      <c r="M642">
        <f t="shared" si="10"/>
        <v>7</v>
      </c>
    </row>
    <row r="643" spans="1:13" x14ac:dyDescent="0.25">
      <c r="A643" t="s">
        <v>1205</v>
      </c>
      <c r="B643" t="s">
        <v>1102</v>
      </c>
      <c r="C643">
        <v>40</v>
      </c>
      <c r="D643" t="s">
        <v>13</v>
      </c>
      <c r="E643" s="2">
        <v>45752</v>
      </c>
      <c r="F643" s="2">
        <v>45754</v>
      </c>
      <c r="G643" t="s">
        <v>24</v>
      </c>
      <c r="H643" t="s">
        <v>334</v>
      </c>
      <c r="I643" s="3">
        <v>3282.55</v>
      </c>
      <c r="J643" s="4">
        <v>70</v>
      </c>
      <c r="K643" t="s">
        <v>21</v>
      </c>
      <c r="L643" t="str" cm="1">
        <f t="array" ref="L643">_xlfn.IFS(C643&lt;18,"under 18",C643&lt;36,"btw 18 &amp; 35",C643&lt;51,"btw 36 &amp;50",C643&lt;66,"btw 51 &amp; 66",C643&gt;66,"66 &amp; above")</f>
        <v>btw 36 &amp;50</v>
      </c>
      <c r="M643">
        <f t="shared" ref="M643:M706" si="11">AVERAGE(F643-E643)</f>
        <v>2</v>
      </c>
    </row>
    <row r="644" spans="1:13" x14ac:dyDescent="0.25">
      <c r="A644" t="s">
        <v>1206</v>
      </c>
      <c r="B644" t="s">
        <v>1207</v>
      </c>
      <c r="C644">
        <v>55</v>
      </c>
      <c r="D644" t="s">
        <v>19</v>
      </c>
      <c r="E644" s="2">
        <v>45716</v>
      </c>
      <c r="F644" s="2">
        <v>45722</v>
      </c>
      <c r="G644" t="s">
        <v>61</v>
      </c>
      <c r="H644" t="s">
        <v>78</v>
      </c>
      <c r="I644" s="3">
        <v>13468.92</v>
      </c>
      <c r="J644" s="4">
        <v>80</v>
      </c>
      <c r="K644" t="s">
        <v>16</v>
      </c>
      <c r="L644" t="str" cm="1">
        <f t="array" ref="L644">_xlfn.IFS(C644&lt;18,"under 18",C644&lt;36,"btw 18 &amp; 35",C644&lt;51,"btw 36 &amp;50",C644&lt;66,"btw 51 &amp; 66",C644&gt;66,"66 &amp; above")</f>
        <v>btw 51 &amp; 66</v>
      </c>
      <c r="M644">
        <f t="shared" si="11"/>
        <v>6</v>
      </c>
    </row>
    <row r="645" spans="1:13" x14ac:dyDescent="0.25">
      <c r="A645" t="s">
        <v>1208</v>
      </c>
      <c r="B645" t="s">
        <v>1209</v>
      </c>
      <c r="C645">
        <v>76</v>
      </c>
      <c r="D645" t="s">
        <v>13</v>
      </c>
      <c r="E645" s="2">
        <v>45868</v>
      </c>
      <c r="F645" s="2">
        <v>45873</v>
      </c>
      <c r="G645" t="s">
        <v>14</v>
      </c>
      <c r="H645" t="s">
        <v>15</v>
      </c>
      <c r="I645" s="3">
        <v>7431.19</v>
      </c>
      <c r="J645" s="4">
        <v>80</v>
      </c>
      <c r="K645" t="s">
        <v>21</v>
      </c>
      <c r="L645" t="str" cm="1">
        <f t="array" ref="L645">_xlfn.IFS(C645&lt;18,"under 18",C645&lt;36,"btw 18 &amp; 35",C645&lt;51,"btw 36 &amp;50",C645&lt;66,"btw 51 &amp; 66",C645&gt;66,"66 &amp; above")</f>
        <v>66 &amp; above</v>
      </c>
      <c r="M645">
        <f t="shared" si="11"/>
        <v>5</v>
      </c>
    </row>
    <row r="646" spans="1:13" x14ac:dyDescent="0.25">
      <c r="A646" t="s">
        <v>1210</v>
      </c>
      <c r="B646" t="s">
        <v>1211</v>
      </c>
      <c r="C646">
        <v>77</v>
      </c>
      <c r="D646" t="s">
        <v>19</v>
      </c>
      <c r="E646" s="2">
        <v>45612</v>
      </c>
      <c r="F646" s="2">
        <v>45616</v>
      </c>
      <c r="G646" t="s">
        <v>71</v>
      </c>
      <c r="H646" t="s">
        <v>95</v>
      </c>
      <c r="I646" s="3">
        <v>4416.84</v>
      </c>
      <c r="J646" s="4">
        <v>80</v>
      </c>
      <c r="K646" t="s">
        <v>26</v>
      </c>
      <c r="L646" t="str" cm="1">
        <f t="array" ref="L646">_xlfn.IFS(C646&lt;18,"under 18",C646&lt;36,"btw 18 &amp; 35",C646&lt;51,"btw 36 &amp;50",C646&lt;66,"btw 51 &amp; 66",C646&gt;66,"66 &amp; above")</f>
        <v>66 &amp; above</v>
      </c>
      <c r="M646">
        <f t="shared" si="11"/>
        <v>4</v>
      </c>
    </row>
    <row r="647" spans="1:13" x14ac:dyDescent="0.25">
      <c r="A647" t="s">
        <v>1212</v>
      </c>
      <c r="B647" t="s">
        <v>1213</v>
      </c>
      <c r="C647">
        <v>77</v>
      </c>
      <c r="D647" t="s">
        <v>13</v>
      </c>
      <c r="E647" s="2">
        <v>45967</v>
      </c>
      <c r="F647" s="2">
        <v>45968</v>
      </c>
      <c r="G647" t="s">
        <v>24</v>
      </c>
      <c r="H647" t="s">
        <v>25</v>
      </c>
      <c r="I647" s="3">
        <v>1265.79</v>
      </c>
      <c r="J647" s="4">
        <v>80</v>
      </c>
      <c r="K647" t="s">
        <v>21</v>
      </c>
      <c r="L647" t="str" cm="1">
        <f t="array" ref="L647">_xlfn.IFS(C647&lt;18,"under 18",C647&lt;36,"btw 18 &amp; 35",C647&lt;51,"btw 36 &amp;50",C647&lt;66,"btw 51 &amp; 66",C647&gt;66,"66 &amp; above")</f>
        <v>66 &amp; above</v>
      </c>
      <c r="M647">
        <f t="shared" si="11"/>
        <v>1</v>
      </c>
    </row>
    <row r="648" spans="1:13" x14ac:dyDescent="0.25">
      <c r="A648" t="s">
        <v>1214</v>
      </c>
      <c r="B648" t="s">
        <v>871</v>
      </c>
      <c r="C648">
        <v>47</v>
      </c>
      <c r="D648" t="s">
        <v>19</v>
      </c>
      <c r="E648" s="2">
        <v>45509</v>
      </c>
      <c r="F648" s="2">
        <v>45514</v>
      </c>
      <c r="G648" t="s">
        <v>32</v>
      </c>
      <c r="H648" t="s">
        <v>115</v>
      </c>
      <c r="I648" s="3">
        <v>7496.19</v>
      </c>
      <c r="J648" s="4">
        <v>80</v>
      </c>
      <c r="K648" t="s">
        <v>16</v>
      </c>
      <c r="L648" t="str" cm="1">
        <f t="array" ref="L648">_xlfn.IFS(C648&lt;18,"under 18",C648&lt;36,"btw 18 &amp; 35",C648&lt;51,"btw 36 &amp;50",C648&lt;66,"btw 51 &amp; 66",C648&gt;66,"66 &amp; above")</f>
        <v>btw 36 &amp;50</v>
      </c>
      <c r="M648">
        <f t="shared" si="11"/>
        <v>5</v>
      </c>
    </row>
    <row r="649" spans="1:13" x14ac:dyDescent="0.25">
      <c r="A649" t="s">
        <v>1215</v>
      </c>
      <c r="B649" t="s">
        <v>114</v>
      </c>
      <c r="C649">
        <v>46</v>
      </c>
      <c r="D649" t="s">
        <v>19</v>
      </c>
      <c r="E649" s="2">
        <v>45381</v>
      </c>
      <c r="F649" s="2">
        <v>45385</v>
      </c>
      <c r="G649" t="s">
        <v>32</v>
      </c>
      <c r="H649" t="s">
        <v>36</v>
      </c>
      <c r="I649" s="3">
        <v>5991.42</v>
      </c>
      <c r="J649" s="4">
        <v>100</v>
      </c>
      <c r="K649" t="s">
        <v>26</v>
      </c>
      <c r="L649" t="str" cm="1">
        <f t="array" ref="L649">_xlfn.IFS(C649&lt;18,"under 18",C649&lt;36,"btw 18 &amp; 35",C649&lt;51,"btw 36 &amp;50",C649&lt;66,"btw 51 &amp; 66",C649&gt;66,"66 &amp; above")</f>
        <v>btw 36 &amp;50</v>
      </c>
      <c r="M649">
        <f t="shared" si="11"/>
        <v>4</v>
      </c>
    </row>
    <row r="650" spans="1:13" x14ac:dyDescent="0.25">
      <c r="A650" t="s">
        <v>1216</v>
      </c>
      <c r="B650" t="s">
        <v>1217</v>
      </c>
      <c r="C650">
        <v>62</v>
      </c>
      <c r="D650" t="s">
        <v>13</v>
      </c>
      <c r="E650" s="2">
        <v>45428</v>
      </c>
      <c r="F650" s="2">
        <v>45438</v>
      </c>
      <c r="G650" t="s">
        <v>14</v>
      </c>
      <c r="H650" t="s">
        <v>15</v>
      </c>
      <c r="I650" s="3">
        <v>12878.2</v>
      </c>
      <c r="J650" s="4">
        <v>80</v>
      </c>
      <c r="K650" t="s">
        <v>16</v>
      </c>
      <c r="L650" t="str" cm="1">
        <f t="array" ref="L650">_xlfn.IFS(C650&lt;18,"under 18",C650&lt;36,"btw 18 &amp; 35",C650&lt;51,"btw 36 &amp;50",C650&lt;66,"btw 51 &amp; 66",C650&gt;66,"66 &amp; above")</f>
        <v>btw 51 &amp; 66</v>
      </c>
      <c r="M650">
        <f t="shared" si="11"/>
        <v>10</v>
      </c>
    </row>
    <row r="651" spans="1:13" x14ac:dyDescent="0.25">
      <c r="A651" t="s">
        <v>1218</v>
      </c>
      <c r="B651" t="s">
        <v>1219</v>
      </c>
      <c r="C651">
        <v>5</v>
      </c>
      <c r="D651" t="s">
        <v>13</v>
      </c>
      <c r="E651" s="2">
        <v>46008</v>
      </c>
      <c r="F651" s="2">
        <v>46012</v>
      </c>
      <c r="G651" t="s">
        <v>50</v>
      </c>
      <c r="H651" t="s">
        <v>131</v>
      </c>
      <c r="I651" s="3">
        <v>4752.84</v>
      </c>
      <c r="J651" s="4">
        <v>80</v>
      </c>
      <c r="K651" t="s">
        <v>16</v>
      </c>
      <c r="L651" t="str" cm="1">
        <f t="array" ref="L651">_xlfn.IFS(C651&lt;18,"under 18",C651&lt;36,"btw 18 &amp; 35",C651&lt;51,"btw 36 &amp;50",C651&lt;66,"btw 51 &amp; 66",C651&gt;66,"66 &amp; above")</f>
        <v>under 18</v>
      </c>
      <c r="M651">
        <f t="shared" si="11"/>
        <v>4</v>
      </c>
    </row>
    <row r="652" spans="1:13" x14ac:dyDescent="0.25">
      <c r="A652" t="s">
        <v>1220</v>
      </c>
      <c r="B652" t="s">
        <v>1221</v>
      </c>
      <c r="C652">
        <v>34</v>
      </c>
      <c r="D652" t="s">
        <v>13</v>
      </c>
      <c r="E652" s="2">
        <v>45435</v>
      </c>
      <c r="F652" s="2">
        <v>45436</v>
      </c>
      <c r="G652" t="s">
        <v>32</v>
      </c>
      <c r="H652" t="s">
        <v>54</v>
      </c>
      <c r="I652" s="3">
        <v>1394.75</v>
      </c>
      <c r="J652" s="4">
        <v>0</v>
      </c>
      <c r="K652" t="s">
        <v>21</v>
      </c>
      <c r="L652" t="str" cm="1">
        <f t="array" ref="L652">_xlfn.IFS(C652&lt;18,"under 18",C652&lt;36,"btw 18 &amp; 35",C652&lt;51,"btw 36 &amp;50",C652&lt;66,"btw 51 &amp; 66",C652&gt;66,"66 &amp; above")</f>
        <v>btw 18 &amp; 35</v>
      </c>
      <c r="M652">
        <f t="shared" si="11"/>
        <v>1</v>
      </c>
    </row>
    <row r="653" spans="1:13" x14ac:dyDescent="0.25">
      <c r="A653" t="s">
        <v>1222</v>
      </c>
      <c r="B653" t="s">
        <v>1223</v>
      </c>
      <c r="C653">
        <v>59</v>
      </c>
      <c r="D653" t="s">
        <v>13</v>
      </c>
      <c r="E653" s="2">
        <v>45525</v>
      </c>
      <c r="F653" s="2">
        <v>45527</v>
      </c>
      <c r="G653" t="s">
        <v>24</v>
      </c>
      <c r="H653" t="s">
        <v>29</v>
      </c>
      <c r="I653" s="3">
        <v>3366.33</v>
      </c>
      <c r="J653" s="4">
        <v>70</v>
      </c>
      <c r="K653" t="s">
        <v>21</v>
      </c>
      <c r="L653" t="str" cm="1">
        <f t="array" ref="L653">_xlfn.IFS(C653&lt;18,"under 18",C653&lt;36,"btw 18 &amp; 35",C653&lt;51,"btw 36 &amp;50",C653&lt;66,"btw 51 &amp; 66",C653&gt;66,"66 &amp; above")</f>
        <v>btw 51 &amp; 66</v>
      </c>
      <c r="M653">
        <f t="shared" si="11"/>
        <v>2</v>
      </c>
    </row>
    <row r="654" spans="1:13" x14ac:dyDescent="0.25">
      <c r="A654" t="s">
        <v>1224</v>
      </c>
      <c r="B654" t="s">
        <v>237</v>
      </c>
      <c r="C654">
        <v>65</v>
      </c>
      <c r="D654" t="s">
        <v>19</v>
      </c>
      <c r="E654" s="2">
        <v>45589</v>
      </c>
      <c r="F654" s="2">
        <v>45595</v>
      </c>
      <c r="G654" t="s">
        <v>14</v>
      </c>
      <c r="H654" t="s">
        <v>20</v>
      </c>
      <c r="I654" s="3">
        <v>9890.23</v>
      </c>
      <c r="J654" s="4">
        <v>80</v>
      </c>
      <c r="K654" t="s">
        <v>16</v>
      </c>
      <c r="L654" t="str" cm="1">
        <f t="array" ref="L654">_xlfn.IFS(C654&lt;18,"under 18",C654&lt;36,"btw 18 &amp; 35",C654&lt;51,"btw 36 &amp;50",C654&lt;66,"btw 51 &amp; 66",C654&gt;66,"66 &amp; above")</f>
        <v>btw 51 &amp; 66</v>
      </c>
      <c r="M654">
        <f t="shared" si="11"/>
        <v>6</v>
      </c>
    </row>
    <row r="655" spans="1:13" x14ac:dyDescent="0.25">
      <c r="A655" t="s">
        <v>1225</v>
      </c>
      <c r="B655" t="s">
        <v>142</v>
      </c>
      <c r="C655">
        <v>44</v>
      </c>
      <c r="D655" t="s">
        <v>13</v>
      </c>
      <c r="E655" s="2">
        <v>45379</v>
      </c>
      <c r="F655" s="2">
        <v>45383</v>
      </c>
      <c r="G655" t="s">
        <v>14</v>
      </c>
      <c r="H655" t="s">
        <v>15</v>
      </c>
      <c r="I655" s="3">
        <v>10351.120000000001</v>
      </c>
      <c r="J655" s="4">
        <v>80</v>
      </c>
      <c r="K655" t="s">
        <v>21</v>
      </c>
      <c r="L655" t="str" cm="1">
        <f t="array" ref="L655">_xlfn.IFS(C655&lt;18,"under 18",C655&lt;36,"btw 18 &amp; 35",C655&lt;51,"btw 36 &amp;50",C655&lt;66,"btw 51 &amp; 66",C655&gt;66,"66 &amp; above")</f>
        <v>btw 36 &amp;50</v>
      </c>
      <c r="M655">
        <f t="shared" si="11"/>
        <v>4</v>
      </c>
    </row>
    <row r="656" spans="1:13" x14ac:dyDescent="0.25">
      <c r="A656" t="s">
        <v>1226</v>
      </c>
      <c r="B656" t="s">
        <v>1219</v>
      </c>
      <c r="C656">
        <v>17</v>
      </c>
      <c r="D656" t="s">
        <v>13</v>
      </c>
      <c r="E656" s="2">
        <v>45955</v>
      </c>
      <c r="F656" s="2">
        <v>45956</v>
      </c>
      <c r="G656" t="s">
        <v>50</v>
      </c>
      <c r="H656" t="s">
        <v>51</v>
      </c>
      <c r="I656" s="3">
        <v>836.96</v>
      </c>
      <c r="J656" s="4">
        <v>70</v>
      </c>
      <c r="K656" t="s">
        <v>16</v>
      </c>
      <c r="L656" t="str" cm="1">
        <f t="array" ref="L656">_xlfn.IFS(C656&lt;18,"under 18",C656&lt;36,"btw 18 &amp; 35",C656&lt;51,"btw 36 &amp;50",C656&lt;66,"btw 51 &amp; 66",C656&gt;66,"66 &amp; above")</f>
        <v>under 18</v>
      </c>
      <c r="M656">
        <f t="shared" si="11"/>
        <v>1</v>
      </c>
    </row>
    <row r="657" spans="1:13" x14ac:dyDescent="0.25">
      <c r="A657" t="s">
        <v>1227</v>
      </c>
      <c r="B657" t="s">
        <v>1228</v>
      </c>
      <c r="C657">
        <v>16</v>
      </c>
      <c r="D657" t="s">
        <v>19</v>
      </c>
      <c r="E657" s="2">
        <v>45496</v>
      </c>
      <c r="F657" s="2">
        <v>45501</v>
      </c>
      <c r="G657" t="s">
        <v>50</v>
      </c>
      <c r="H657" t="s">
        <v>118</v>
      </c>
      <c r="I657" s="3">
        <v>6886.9</v>
      </c>
      <c r="J657" s="4">
        <v>50</v>
      </c>
      <c r="K657" t="s">
        <v>21</v>
      </c>
      <c r="L657" t="str" cm="1">
        <f t="array" ref="L657">_xlfn.IFS(C657&lt;18,"under 18",C657&lt;36,"btw 18 &amp; 35",C657&lt;51,"btw 36 &amp;50",C657&lt;66,"btw 51 &amp; 66",C657&gt;66,"66 &amp; above")</f>
        <v>under 18</v>
      </c>
      <c r="M657">
        <f t="shared" si="11"/>
        <v>5</v>
      </c>
    </row>
    <row r="658" spans="1:13" x14ac:dyDescent="0.25">
      <c r="A658" t="s">
        <v>1229</v>
      </c>
      <c r="B658" t="s">
        <v>289</v>
      </c>
      <c r="C658">
        <v>3</v>
      </c>
      <c r="D658" t="s">
        <v>13</v>
      </c>
      <c r="E658" s="2">
        <v>45388</v>
      </c>
      <c r="F658" s="2">
        <v>45393</v>
      </c>
      <c r="G658" t="s">
        <v>50</v>
      </c>
      <c r="H658" t="s">
        <v>124</v>
      </c>
      <c r="I658" s="3">
        <v>7993.91</v>
      </c>
      <c r="J658" s="4">
        <v>90</v>
      </c>
      <c r="K658" t="s">
        <v>26</v>
      </c>
      <c r="L658" t="str" cm="1">
        <f t="array" ref="L658">_xlfn.IFS(C658&lt;18,"under 18",C658&lt;36,"btw 18 &amp; 35",C658&lt;51,"btw 36 &amp;50",C658&lt;66,"btw 51 &amp; 66",C658&gt;66,"66 &amp; above")</f>
        <v>under 18</v>
      </c>
      <c r="M658">
        <f t="shared" si="11"/>
        <v>5</v>
      </c>
    </row>
    <row r="659" spans="1:13" x14ac:dyDescent="0.25">
      <c r="A659" t="s">
        <v>1230</v>
      </c>
      <c r="B659" t="s">
        <v>891</v>
      </c>
      <c r="C659">
        <v>79</v>
      </c>
      <c r="D659" t="s">
        <v>13</v>
      </c>
      <c r="E659" s="2">
        <v>45926</v>
      </c>
      <c r="F659" s="2">
        <v>45933</v>
      </c>
      <c r="G659" t="s">
        <v>32</v>
      </c>
      <c r="H659" t="s">
        <v>54</v>
      </c>
      <c r="I659" s="3">
        <v>9475.6200000000008</v>
      </c>
      <c r="J659" s="4">
        <v>90</v>
      </c>
      <c r="K659" t="s">
        <v>16</v>
      </c>
      <c r="L659" t="str" cm="1">
        <f t="array" ref="L659">_xlfn.IFS(C659&lt;18,"under 18",C659&lt;36,"btw 18 &amp; 35",C659&lt;51,"btw 36 &amp;50",C659&lt;66,"btw 51 &amp; 66",C659&gt;66,"66 &amp; above")</f>
        <v>66 &amp; above</v>
      </c>
      <c r="M659">
        <f t="shared" si="11"/>
        <v>7</v>
      </c>
    </row>
    <row r="660" spans="1:13" x14ac:dyDescent="0.25">
      <c r="A660" t="s">
        <v>1231</v>
      </c>
      <c r="B660" t="s">
        <v>1012</v>
      </c>
      <c r="C660">
        <v>10</v>
      </c>
      <c r="D660" t="s">
        <v>13</v>
      </c>
      <c r="E660" s="2">
        <v>45975</v>
      </c>
      <c r="F660" s="2">
        <v>45980</v>
      </c>
      <c r="G660" t="s">
        <v>50</v>
      </c>
      <c r="H660" t="s">
        <v>118</v>
      </c>
      <c r="I660" s="3">
        <v>8509.42</v>
      </c>
      <c r="J660" s="4">
        <v>0</v>
      </c>
      <c r="K660" t="s">
        <v>16</v>
      </c>
      <c r="L660" t="str" cm="1">
        <f t="array" ref="L660">_xlfn.IFS(C660&lt;18,"under 18",C660&lt;36,"btw 18 &amp; 35",C660&lt;51,"btw 36 &amp;50",C660&lt;66,"btw 51 &amp; 66",C660&gt;66,"66 &amp; above")</f>
        <v>under 18</v>
      </c>
      <c r="M660">
        <f t="shared" si="11"/>
        <v>5</v>
      </c>
    </row>
    <row r="661" spans="1:13" x14ac:dyDescent="0.25">
      <c r="A661" t="s">
        <v>1232</v>
      </c>
      <c r="B661" t="s">
        <v>1233</v>
      </c>
      <c r="C661">
        <v>50</v>
      </c>
      <c r="D661" t="s">
        <v>13</v>
      </c>
      <c r="E661" s="2">
        <v>45635</v>
      </c>
      <c r="F661" s="2">
        <v>45643</v>
      </c>
      <c r="G661" t="s">
        <v>61</v>
      </c>
      <c r="H661" t="s">
        <v>78</v>
      </c>
      <c r="I661" s="3">
        <v>20107.36</v>
      </c>
      <c r="J661" s="4">
        <v>70</v>
      </c>
      <c r="K661" t="s">
        <v>16</v>
      </c>
      <c r="L661" t="str" cm="1">
        <f t="array" ref="L661">_xlfn.IFS(C661&lt;18,"under 18",C661&lt;36,"btw 18 &amp; 35",C661&lt;51,"btw 36 &amp;50",C661&lt;66,"btw 51 &amp; 66",C661&gt;66,"66 &amp; above")</f>
        <v>btw 36 &amp;50</v>
      </c>
      <c r="M661">
        <f t="shared" si="11"/>
        <v>8</v>
      </c>
    </row>
    <row r="662" spans="1:13" x14ac:dyDescent="0.25">
      <c r="A662" t="s">
        <v>1234</v>
      </c>
      <c r="B662" t="s">
        <v>1235</v>
      </c>
      <c r="C662">
        <v>29</v>
      </c>
      <c r="D662" t="s">
        <v>13</v>
      </c>
      <c r="E662" s="2">
        <v>45491</v>
      </c>
      <c r="F662" s="2">
        <v>45501</v>
      </c>
      <c r="G662" t="s">
        <v>61</v>
      </c>
      <c r="H662" t="s">
        <v>98</v>
      </c>
      <c r="I662" s="3">
        <v>26732.79</v>
      </c>
      <c r="J662" s="4">
        <v>80</v>
      </c>
      <c r="K662" t="s">
        <v>16</v>
      </c>
      <c r="L662" t="str" cm="1">
        <f t="array" ref="L662">_xlfn.IFS(C662&lt;18,"under 18",C662&lt;36,"btw 18 &amp; 35",C662&lt;51,"btw 36 &amp;50",C662&lt;66,"btw 51 &amp; 66",C662&gt;66,"66 &amp; above")</f>
        <v>btw 18 &amp; 35</v>
      </c>
      <c r="M662">
        <f t="shared" si="11"/>
        <v>10</v>
      </c>
    </row>
    <row r="663" spans="1:13" x14ac:dyDescent="0.25">
      <c r="A663" t="s">
        <v>1236</v>
      </c>
      <c r="B663" t="s">
        <v>1237</v>
      </c>
      <c r="C663">
        <v>27</v>
      </c>
      <c r="D663" t="s">
        <v>13</v>
      </c>
      <c r="E663" s="2">
        <v>45868</v>
      </c>
      <c r="F663" s="2">
        <v>45869</v>
      </c>
      <c r="G663" t="s">
        <v>24</v>
      </c>
      <c r="H663" t="s">
        <v>42</v>
      </c>
      <c r="I663" s="3">
        <v>2285.5</v>
      </c>
      <c r="J663" s="4">
        <v>50</v>
      </c>
      <c r="K663" t="s">
        <v>16</v>
      </c>
      <c r="L663" t="str" cm="1">
        <f t="array" ref="L663">_xlfn.IFS(C663&lt;18,"under 18",C663&lt;36,"btw 18 &amp; 35",C663&lt;51,"btw 36 &amp;50",C663&lt;66,"btw 51 &amp; 66",C663&gt;66,"66 &amp; above")</f>
        <v>btw 18 &amp; 35</v>
      </c>
      <c r="M663">
        <f t="shared" si="11"/>
        <v>1</v>
      </c>
    </row>
    <row r="664" spans="1:13" x14ac:dyDescent="0.25">
      <c r="A664" t="s">
        <v>1238</v>
      </c>
      <c r="B664" t="s">
        <v>1239</v>
      </c>
      <c r="C664">
        <v>11</v>
      </c>
      <c r="D664" t="s">
        <v>19</v>
      </c>
      <c r="E664" s="2">
        <v>45418</v>
      </c>
      <c r="F664" s="2">
        <v>45422</v>
      </c>
      <c r="G664" t="s">
        <v>50</v>
      </c>
      <c r="H664" t="s">
        <v>51</v>
      </c>
      <c r="I664" s="3">
        <v>3830.25</v>
      </c>
      <c r="J664" s="4">
        <v>90</v>
      </c>
      <c r="K664" t="s">
        <v>21</v>
      </c>
      <c r="L664" t="str" cm="1">
        <f t="array" ref="L664">_xlfn.IFS(C664&lt;18,"under 18",C664&lt;36,"btw 18 &amp; 35",C664&lt;51,"btw 36 &amp;50",C664&lt;66,"btw 51 &amp; 66",C664&gt;66,"66 &amp; above")</f>
        <v>under 18</v>
      </c>
      <c r="M664">
        <f t="shared" si="11"/>
        <v>4</v>
      </c>
    </row>
    <row r="665" spans="1:13" x14ac:dyDescent="0.25">
      <c r="A665" t="s">
        <v>1240</v>
      </c>
      <c r="B665" t="s">
        <v>1241</v>
      </c>
      <c r="C665">
        <v>17</v>
      </c>
      <c r="D665" t="s">
        <v>19</v>
      </c>
      <c r="E665" s="2">
        <v>45438</v>
      </c>
      <c r="F665" s="2">
        <v>45443</v>
      </c>
      <c r="G665" t="s">
        <v>50</v>
      </c>
      <c r="H665" t="s">
        <v>124</v>
      </c>
      <c r="I665" s="3">
        <v>3322.2</v>
      </c>
      <c r="J665" s="4">
        <v>60</v>
      </c>
      <c r="K665" t="s">
        <v>16</v>
      </c>
      <c r="L665" t="str" cm="1">
        <f t="array" ref="L665">_xlfn.IFS(C665&lt;18,"under 18",C665&lt;36,"btw 18 &amp; 35",C665&lt;51,"btw 36 &amp;50",C665&lt;66,"btw 51 &amp; 66",C665&gt;66,"66 &amp; above")</f>
        <v>under 18</v>
      </c>
      <c r="M665">
        <f t="shared" si="11"/>
        <v>5</v>
      </c>
    </row>
    <row r="666" spans="1:13" x14ac:dyDescent="0.25">
      <c r="A666" t="s">
        <v>1242</v>
      </c>
      <c r="B666" t="s">
        <v>1243</v>
      </c>
      <c r="C666">
        <v>42</v>
      </c>
      <c r="D666" t="s">
        <v>19</v>
      </c>
      <c r="E666" s="2">
        <v>45585</v>
      </c>
      <c r="F666" s="2">
        <v>45593</v>
      </c>
      <c r="G666" t="s">
        <v>14</v>
      </c>
      <c r="H666" t="s">
        <v>39</v>
      </c>
      <c r="I666" s="3">
        <v>16467.43</v>
      </c>
      <c r="J666" s="4">
        <v>70</v>
      </c>
      <c r="K666" t="s">
        <v>16</v>
      </c>
      <c r="L666" t="str" cm="1">
        <f t="array" ref="L666">_xlfn.IFS(C666&lt;18,"under 18",C666&lt;36,"btw 18 &amp; 35",C666&lt;51,"btw 36 &amp;50",C666&lt;66,"btw 51 &amp; 66",C666&gt;66,"66 &amp; above")</f>
        <v>btw 36 &amp;50</v>
      </c>
      <c r="M666">
        <f t="shared" si="11"/>
        <v>8</v>
      </c>
    </row>
    <row r="667" spans="1:13" x14ac:dyDescent="0.25">
      <c r="A667" t="s">
        <v>1244</v>
      </c>
      <c r="B667" t="s">
        <v>80</v>
      </c>
      <c r="C667">
        <v>57</v>
      </c>
      <c r="D667" t="s">
        <v>19</v>
      </c>
      <c r="E667" s="2">
        <v>45477</v>
      </c>
      <c r="F667" s="2">
        <v>45482</v>
      </c>
      <c r="G667" t="s">
        <v>61</v>
      </c>
      <c r="H667" t="s">
        <v>134</v>
      </c>
      <c r="I667" s="3">
        <v>11600.46</v>
      </c>
      <c r="J667" s="4">
        <v>100</v>
      </c>
      <c r="K667" t="s">
        <v>16</v>
      </c>
      <c r="L667" t="str" cm="1">
        <f t="array" ref="L667">_xlfn.IFS(C667&lt;18,"under 18",C667&lt;36,"btw 18 &amp; 35",C667&lt;51,"btw 36 &amp;50",C667&lt;66,"btw 51 &amp; 66",C667&gt;66,"66 &amp; above")</f>
        <v>btw 51 &amp; 66</v>
      </c>
      <c r="M667">
        <f t="shared" si="11"/>
        <v>5</v>
      </c>
    </row>
    <row r="668" spans="1:13" x14ac:dyDescent="0.25">
      <c r="A668" t="s">
        <v>1245</v>
      </c>
      <c r="B668" t="s">
        <v>1246</v>
      </c>
      <c r="C668">
        <v>64</v>
      </c>
      <c r="D668" t="s">
        <v>13</v>
      </c>
      <c r="E668" s="2">
        <v>45334</v>
      </c>
      <c r="F668" s="2">
        <v>45344</v>
      </c>
      <c r="G668" t="s">
        <v>71</v>
      </c>
      <c r="H668" t="s">
        <v>158</v>
      </c>
      <c r="I668" s="3">
        <v>15327.29</v>
      </c>
      <c r="J668" s="4">
        <v>80</v>
      </c>
      <c r="K668" t="s">
        <v>16</v>
      </c>
      <c r="L668" t="str" cm="1">
        <f t="array" ref="L668">_xlfn.IFS(C668&lt;18,"under 18",C668&lt;36,"btw 18 &amp; 35",C668&lt;51,"btw 36 &amp;50",C668&lt;66,"btw 51 &amp; 66",C668&gt;66,"66 &amp; above")</f>
        <v>btw 51 &amp; 66</v>
      </c>
      <c r="M668">
        <f t="shared" si="11"/>
        <v>10</v>
      </c>
    </row>
    <row r="669" spans="1:13" x14ac:dyDescent="0.25">
      <c r="A669" t="s">
        <v>1247</v>
      </c>
      <c r="B669" t="s">
        <v>178</v>
      </c>
      <c r="C669">
        <v>47</v>
      </c>
      <c r="D669" t="s">
        <v>13</v>
      </c>
      <c r="E669" s="2">
        <v>45649</v>
      </c>
      <c r="F669" s="2">
        <v>45656</v>
      </c>
      <c r="G669" t="s">
        <v>32</v>
      </c>
      <c r="H669" t="s">
        <v>54</v>
      </c>
      <c r="I669" s="3">
        <v>6289.07</v>
      </c>
      <c r="J669" s="4">
        <v>100</v>
      </c>
      <c r="K669" t="s">
        <v>21</v>
      </c>
      <c r="L669" t="str" cm="1">
        <f t="array" ref="L669">_xlfn.IFS(C669&lt;18,"under 18",C669&lt;36,"btw 18 &amp; 35",C669&lt;51,"btw 36 &amp;50",C669&lt;66,"btw 51 &amp; 66",C669&gt;66,"66 &amp; above")</f>
        <v>btw 36 &amp;50</v>
      </c>
      <c r="M669">
        <f t="shared" si="11"/>
        <v>7</v>
      </c>
    </row>
    <row r="670" spans="1:13" x14ac:dyDescent="0.25">
      <c r="A670" t="s">
        <v>1248</v>
      </c>
      <c r="B670" t="s">
        <v>1249</v>
      </c>
      <c r="C670">
        <v>45</v>
      </c>
      <c r="D670" t="s">
        <v>19</v>
      </c>
      <c r="E670" s="2">
        <v>45661</v>
      </c>
      <c r="F670" s="2">
        <v>45664</v>
      </c>
      <c r="G670" t="s">
        <v>71</v>
      </c>
      <c r="H670" t="s">
        <v>296</v>
      </c>
      <c r="I670" s="3">
        <v>4517.8599999999997</v>
      </c>
      <c r="J670" s="4">
        <v>80</v>
      </c>
      <c r="K670" t="s">
        <v>21</v>
      </c>
      <c r="L670" t="str" cm="1">
        <f t="array" ref="L670">_xlfn.IFS(C670&lt;18,"under 18",C670&lt;36,"btw 18 &amp; 35",C670&lt;51,"btw 36 &amp;50",C670&lt;66,"btw 51 &amp; 66",C670&gt;66,"66 &amp; above")</f>
        <v>btw 36 &amp;50</v>
      </c>
      <c r="M670">
        <f t="shared" si="11"/>
        <v>3</v>
      </c>
    </row>
    <row r="671" spans="1:13" x14ac:dyDescent="0.25">
      <c r="A671" t="s">
        <v>1250</v>
      </c>
      <c r="B671" t="s">
        <v>933</v>
      </c>
      <c r="C671">
        <v>13</v>
      </c>
      <c r="D671" t="s">
        <v>19</v>
      </c>
      <c r="E671" s="2">
        <v>45493</v>
      </c>
      <c r="F671" s="2">
        <v>45495</v>
      </c>
      <c r="G671" t="s">
        <v>50</v>
      </c>
      <c r="H671" t="s">
        <v>121</v>
      </c>
      <c r="I671" s="3">
        <v>3226.45</v>
      </c>
      <c r="J671" s="4">
        <v>90</v>
      </c>
      <c r="K671" t="s">
        <v>16</v>
      </c>
      <c r="L671" t="str" cm="1">
        <f t="array" ref="L671">_xlfn.IFS(C671&lt;18,"under 18",C671&lt;36,"btw 18 &amp; 35",C671&lt;51,"btw 36 &amp;50",C671&lt;66,"btw 51 &amp; 66",C671&gt;66,"66 &amp; above")</f>
        <v>under 18</v>
      </c>
      <c r="M671">
        <f t="shared" si="11"/>
        <v>2</v>
      </c>
    </row>
    <row r="672" spans="1:13" x14ac:dyDescent="0.25">
      <c r="A672" t="s">
        <v>1251</v>
      </c>
      <c r="B672" t="s">
        <v>140</v>
      </c>
      <c r="C672">
        <v>2</v>
      </c>
      <c r="D672" t="s">
        <v>19</v>
      </c>
      <c r="E672" s="2">
        <v>45369</v>
      </c>
      <c r="F672" s="2">
        <v>45371</v>
      </c>
      <c r="G672" t="s">
        <v>50</v>
      </c>
      <c r="H672" t="s">
        <v>379</v>
      </c>
      <c r="I672" s="3">
        <v>1704.46</v>
      </c>
      <c r="J672" s="4">
        <v>60</v>
      </c>
      <c r="K672" t="s">
        <v>21</v>
      </c>
      <c r="L672" t="str" cm="1">
        <f t="array" ref="L672">_xlfn.IFS(C672&lt;18,"under 18",C672&lt;36,"btw 18 &amp; 35",C672&lt;51,"btw 36 &amp;50",C672&lt;66,"btw 51 &amp; 66",C672&gt;66,"66 &amp; above")</f>
        <v>under 18</v>
      </c>
      <c r="M672">
        <f t="shared" si="11"/>
        <v>2</v>
      </c>
    </row>
    <row r="673" spans="1:13" x14ac:dyDescent="0.25">
      <c r="A673" t="s">
        <v>1252</v>
      </c>
      <c r="B673" t="s">
        <v>1025</v>
      </c>
      <c r="C673">
        <v>55</v>
      </c>
      <c r="D673" t="s">
        <v>13</v>
      </c>
      <c r="E673" s="2">
        <v>45855</v>
      </c>
      <c r="F673" s="2">
        <v>45856</v>
      </c>
      <c r="G673" t="s">
        <v>32</v>
      </c>
      <c r="H673" t="s">
        <v>88</v>
      </c>
      <c r="I673" s="3">
        <v>921.05</v>
      </c>
      <c r="J673" s="4">
        <v>70</v>
      </c>
      <c r="K673" t="s">
        <v>26</v>
      </c>
      <c r="L673" t="str" cm="1">
        <f t="array" ref="L673">_xlfn.IFS(C673&lt;18,"under 18",C673&lt;36,"btw 18 &amp; 35",C673&lt;51,"btw 36 &amp;50",C673&lt;66,"btw 51 &amp; 66",C673&gt;66,"66 &amp; above")</f>
        <v>btw 51 &amp; 66</v>
      </c>
      <c r="M673">
        <f t="shared" si="11"/>
        <v>1</v>
      </c>
    </row>
    <row r="674" spans="1:13" x14ac:dyDescent="0.25">
      <c r="A674" t="s">
        <v>1253</v>
      </c>
      <c r="B674" t="s">
        <v>1254</v>
      </c>
      <c r="C674">
        <v>78</v>
      </c>
      <c r="D674" t="s">
        <v>19</v>
      </c>
      <c r="E674" s="2">
        <v>45404</v>
      </c>
      <c r="F674" s="2">
        <v>45411</v>
      </c>
      <c r="G674" t="s">
        <v>32</v>
      </c>
      <c r="H674" t="s">
        <v>115</v>
      </c>
      <c r="I674" s="3">
        <v>3751.44</v>
      </c>
      <c r="J674" s="4">
        <v>80</v>
      </c>
      <c r="K674" t="s">
        <v>16</v>
      </c>
      <c r="L674" t="str" cm="1">
        <f t="array" ref="L674">_xlfn.IFS(C674&lt;18,"under 18",C674&lt;36,"btw 18 &amp; 35",C674&lt;51,"btw 36 &amp;50",C674&lt;66,"btw 51 &amp; 66",C674&gt;66,"66 &amp; above")</f>
        <v>66 &amp; above</v>
      </c>
      <c r="M674">
        <f t="shared" si="11"/>
        <v>7</v>
      </c>
    </row>
    <row r="675" spans="1:13" x14ac:dyDescent="0.25">
      <c r="A675" t="s">
        <v>1255</v>
      </c>
      <c r="B675" t="s">
        <v>1256</v>
      </c>
      <c r="C675">
        <v>73</v>
      </c>
      <c r="D675" t="s">
        <v>13</v>
      </c>
      <c r="E675" s="2">
        <v>45855</v>
      </c>
      <c r="F675" s="2">
        <v>45859</v>
      </c>
      <c r="G675" t="s">
        <v>32</v>
      </c>
      <c r="H675" t="s">
        <v>36</v>
      </c>
      <c r="I675" s="3">
        <v>5182.1499999999996</v>
      </c>
      <c r="J675" s="4">
        <v>70</v>
      </c>
      <c r="K675" t="s">
        <v>26</v>
      </c>
      <c r="L675" t="str" cm="1">
        <f t="array" ref="L675">_xlfn.IFS(C675&lt;18,"under 18",C675&lt;36,"btw 18 &amp; 35",C675&lt;51,"btw 36 &amp;50",C675&lt;66,"btw 51 &amp; 66",C675&gt;66,"66 &amp; above")</f>
        <v>66 &amp; above</v>
      </c>
      <c r="M675">
        <f t="shared" si="11"/>
        <v>4</v>
      </c>
    </row>
    <row r="676" spans="1:13" x14ac:dyDescent="0.25">
      <c r="A676" t="s">
        <v>1257</v>
      </c>
      <c r="B676" t="s">
        <v>385</v>
      </c>
      <c r="C676">
        <v>57</v>
      </c>
      <c r="D676" t="s">
        <v>13</v>
      </c>
      <c r="E676" s="2">
        <v>45965</v>
      </c>
      <c r="F676" s="2">
        <v>45971</v>
      </c>
      <c r="G676" t="s">
        <v>14</v>
      </c>
      <c r="H676" t="s">
        <v>15</v>
      </c>
      <c r="I676" s="3">
        <v>13365.24</v>
      </c>
      <c r="J676" s="4">
        <v>70</v>
      </c>
      <c r="K676" t="s">
        <v>26</v>
      </c>
      <c r="L676" t="str" cm="1">
        <f t="array" ref="L676">_xlfn.IFS(C676&lt;18,"under 18",C676&lt;36,"btw 18 &amp; 35",C676&lt;51,"btw 36 &amp;50",C676&lt;66,"btw 51 &amp; 66",C676&gt;66,"66 &amp; above")</f>
        <v>btw 51 &amp; 66</v>
      </c>
      <c r="M676">
        <f t="shared" si="11"/>
        <v>6</v>
      </c>
    </row>
    <row r="677" spans="1:13" x14ac:dyDescent="0.25">
      <c r="A677" t="s">
        <v>1258</v>
      </c>
      <c r="B677" t="s">
        <v>1259</v>
      </c>
      <c r="C677">
        <v>75</v>
      </c>
      <c r="D677" t="s">
        <v>19</v>
      </c>
      <c r="E677" s="2">
        <v>45956</v>
      </c>
      <c r="F677" s="2">
        <v>45967</v>
      </c>
      <c r="G677" t="s">
        <v>61</v>
      </c>
      <c r="H677" t="s">
        <v>98</v>
      </c>
      <c r="I677" s="3">
        <v>14351.59</v>
      </c>
      <c r="J677" s="4">
        <v>50</v>
      </c>
      <c r="K677" t="s">
        <v>16</v>
      </c>
      <c r="L677" t="str" cm="1">
        <f t="array" ref="L677">_xlfn.IFS(C677&lt;18,"under 18",C677&lt;36,"btw 18 &amp; 35",C677&lt;51,"btw 36 &amp;50",C677&lt;66,"btw 51 &amp; 66",C677&gt;66,"66 &amp; above")</f>
        <v>66 &amp; above</v>
      </c>
      <c r="M677">
        <f t="shared" si="11"/>
        <v>11</v>
      </c>
    </row>
    <row r="678" spans="1:13" x14ac:dyDescent="0.25">
      <c r="A678" t="s">
        <v>1260</v>
      </c>
      <c r="B678" t="s">
        <v>1237</v>
      </c>
      <c r="C678">
        <v>2</v>
      </c>
      <c r="D678" t="s">
        <v>13</v>
      </c>
      <c r="E678" s="2">
        <v>45814</v>
      </c>
      <c r="F678" s="2">
        <v>45815</v>
      </c>
      <c r="G678" t="s">
        <v>50</v>
      </c>
      <c r="H678" t="s">
        <v>121</v>
      </c>
      <c r="I678" s="3">
        <v>1340.39</v>
      </c>
      <c r="J678" s="4">
        <v>80</v>
      </c>
      <c r="K678" t="s">
        <v>26</v>
      </c>
      <c r="L678" t="str" cm="1">
        <f t="array" ref="L678">_xlfn.IFS(C678&lt;18,"under 18",C678&lt;36,"btw 18 &amp; 35",C678&lt;51,"btw 36 &amp;50",C678&lt;66,"btw 51 &amp; 66",C678&gt;66,"66 &amp; above")</f>
        <v>under 18</v>
      </c>
      <c r="M678">
        <f t="shared" si="11"/>
        <v>1</v>
      </c>
    </row>
    <row r="679" spans="1:13" x14ac:dyDescent="0.25">
      <c r="A679" t="s">
        <v>1261</v>
      </c>
      <c r="B679" t="s">
        <v>1262</v>
      </c>
      <c r="C679">
        <v>61</v>
      </c>
      <c r="D679" t="s">
        <v>13</v>
      </c>
      <c r="E679" s="2">
        <v>45900</v>
      </c>
      <c r="F679" s="2">
        <v>45902</v>
      </c>
      <c r="G679" t="s">
        <v>32</v>
      </c>
      <c r="H679" t="s">
        <v>235</v>
      </c>
      <c r="I679" s="3">
        <v>2477.89</v>
      </c>
      <c r="J679" s="4">
        <v>80</v>
      </c>
      <c r="K679" t="s">
        <v>21</v>
      </c>
      <c r="L679" t="str" cm="1">
        <f t="array" ref="L679">_xlfn.IFS(C679&lt;18,"under 18",C679&lt;36,"btw 18 &amp; 35",C679&lt;51,"btw 36 &amp;50",C679&lt;66,"btw 51 &amp; 66",C679&gt;66,"66 &amp; above")</f>
        <v>btw 51 &amp; 66</v>
      </c>
      <c r="M679">
        <f t="shared" si="11"/>
        <v>2</v>
      </c>
    </row>
    <row r="680" spans="1:13" x14ac:dyDescent="0.25">
      <c r="A680" t="s">
        <v>1263</v>
      </c>
      <c r="B680" t="s">
        <v>736</v>
      </c>
      <c r="C680">
        <v>6</v>
      </c>
      <c r="D680" t="s">
        <v>19</v>
      </c>
      <c r="E680" s="2">
        <v>45981</v>
      </c>
      <c r="F680" s="2">
        <v>45983</v>
      </c>
      <c r="G680" t="s">
        <v>50</v>
      </c>
      <c r="H680" t="s">
        <v>131</v>
      </c>
      <c r="I680" s="3">
        <v>1871.78</v>
      </c>
      <c r="J680" s="4">
        <v>80</v>
      </c>
      <c r="K680" t="s">
        <v>21</v>
      </c>
      <c r="L680" t="str" cm="1">
        <f t="array" ref="L680">_xlfn.IFS(C680&lt;18,"under 18",C680&lt;36,"btw 18 &amp; 35",C680&lt;51,"btw 36 &amp;50",C680&lt;66,"btw 51 &amp; 66",C680&gt;66,"66 &amp; above")</f>
        <v>under 18</v>
      </c>
      <c r="M680">
        <f t="shared" si="11"/>
        <v>2</v>
      </c>
    </row>
    <row r="681" spans="1:13" x14ac:dyDescent="0.25">
      <c r="A681" t="s">
        <v>1264</v>
      </c>
      <c r="B681" t="s">
        <v>1265</v>
      </c>
      <c r="C681">
        <v>36</v>
      </c>
      <c r="D681" t="s">
        <v>19</v>
      </c>
      <c r="E681" s="2">
        <v>45495</v>
      </c>
      <c r="F681" s="2">
        <v>45497</v>
      </c>
      <c r="G681" t="s">
        <v>24</v>
      </c>
      <c r="H681" t="s">
        <v>205</v>
      </c>
      <c r="I681" s="3">
        <v>3205.01</v>
      </c>
      <c r="J681" s="4">
        <v>70</v>
      </c>
      <c r="K681" t="s">
        <v>16</v>
      </c>
      <c r="L681" t="str" cm="1">
        <f t="array" ref="L681">_xlfn.IFS(C681&lt;18,"under 18",C681&lt;36,"btw 18 &amp; 35",C681&lt;51,"btw 36 &amp;50",C681&lt;66,"btw 51 &amp; 66",C681&gt;66,"66 &amp; above")</f>
        <v>btw 36 &amp;50</v>
      </c>
      <c r="M681">
        <f t="shared" si="11"/>
        <v>2</v>
      </c>
    </row>
    <row r="682" spans="1:13" x14ac:dyDescent="0.25">
      <c r="A682" t="s">
        <v>1266</v>
      </c>
      <c r="B682" t="s">
        <v>1267</v>
      </c>
      <c r="C682">
        <v>52</v>
      </c>
      <c r="D682" t="s">
        <v>19</v>
      </c>
      <c r="E682" s="2">
        <v>45726</v>
      </c>
      <c r="F682" s="2">
        <v>45727</v>
      </c>
      <c r="G682" t="s">
        <v>32</v>
      </c>
      <c r="H682" t="s">
        <v>45</v>
      </c>
      <c r="I682" s="3">
        <v>1148.98</v>
      </c>
      <c r="J682" s="4">
        <v>50</v>
      </c>
      <c r="K682" t="s">
        <v>26</v>
      </c>
      <c r="L682" t="str" cm="1">
        <f t="array" ref="L682">_xlfn.IFS(C682&lt;18,"under 18",C682&lt;36,"btw 18 &amp; 35",C682&lt;51,"btw 36 &amp;50",C682&lt;66,"btw 51 &amp; 66",C682&gt;66,"66 &amp; above")</f>
        <v>btw 51 &amp; 66</v>
      </c>
      <c r="M682">
        <f t="shared" si="11"/>
        <v>1</v>
      </c>
    </row>
    <row r="683" spans="1:13" x14ac:dyDescent="0.25">
      <c r="A683" t="s">
        <v>1268</v>
      </c>
      <c r="B683" t="s">
        <v>1269</v>
      </c>
      <c r="C683">
        <v>6</v>
      </c>
      <c r="D683" t="s">
        <v>19</v>
      </c>
      <c r="E683" s="2">
        <v>45952</v>
      </c>
      <c r="F683" s="2">
        <v>45954</v>
      </c>
      <c r="G683" t="s">
        <v>50</v>
      </c>
      <c r="H683" t="s">
        <v>131</v>
      </c>
      <c r="I683" s="3">
        <v>2502.7199999999998</v>
      </c>
      <c r="J683" s="4">
        <v>80</v>
      </c>
      <c r="K683" t="s">
        <v>16</v>
      </c>
      <c r="L683" t="str" cm="1">
        <f t="array" ref="L683">_xlfn.IFS(C683&lt;18,"under 18",C683&lt;36,"btw 18 &amp; 35",C683&lt;51,"btw 36 &amp;50",C683&lt;66,"btw 51 &amp; 66",C683&gt;66,"66 &amp; above")</f>
        <v>under 18</v>
      </c>
      <c r="M683">
        <f t="shared" si="11"/>
        <v>2</v>
      </c>
    </row>
    <row r="684" spans="1:13" x14ac:dyDescent="0.25">
      <c r="A684" t="s">
        <v>1270</v>
      </c>
      <c r="B684" t="s">
        <v>1110</v>
      </c>
      <c r="C684">
        <v>68</v>
      </c>
      <c r="D684" t="s">
        <v>13</v>
      </c>
      <c r="E684" s="2">
        <v>45652</v>
      </c>
      <c r="F684" s="2">
        <v>45662</v>
      </c>
      <c r="G684" t="s">
        <v>61</v>
      </c>
      <c r="H684" t="s">
        <v>98</v>
      </c>
      <c r="I684" s="3">
        <v>23367.19</v>
      </c>
      <c r="J684" s="4">
        <v>80</v>
      </c>
      <c r="K684" t="s">
        <v>26</v>
      </c>
      <c r="L684" t="str" cm="1">
        <f t="array" ref="L684">_xlfn.IFS(C684&lt;18,"under 18",C684&lt;36,"btw 18 &amp; 35",C684&lt;51,"btw 36 &amp;50",C684&lt;66,"btw 51 &amp; 66",C684&gt;66,"66 &amp; above")</f>
        <v>66 &amp; above</v>
      </c>
      <c r="M684">
        <f t="shared" si="11"/>
        <v>10</v>
      </c>
    </row>
    <row r="685" spans="1:13" x14ac:dyDescent="0.25">
      <c r="A685" t="s">
        <v>1271</v>
      </c>
      <c r="B685" t="s">
        <v>1272</v>
      </c>
      <c r="C685">
        <v>54</v>
      </c>
      <c r="D685" t="s">
        <v>13</v>
      </c>
      <c r="E685" s="2">
        <v>45917</v>
      </c>
      <c r="F685" s="2">
        <v>45929</v>
      </c>
      <c r="G685" t="s">
        <v>61</v>
      </c>
      <c r="H685" t="s">
        <v>78</v>
      </c>
      <c r="I685" s="3">
        <v>14220.87</v>
      </c>
      <c r="J685" s="4">
        <v>80</v>
      </c>
      <c r="K685" t="s">
        <v>16</v>
      </c>
      <c r="L685" t="str" cm="1">
        <f t="array" ref="L685">_xlfn.IFS(C685&lt;18,"under 18",C685&lt;36,"btw 18 &amp; 35",C685&lt;51,"btw 36 &amp;50",C685&lt;66,"btw 51 &amp; 66",C685&gt;66,"66 &amp; above")</f>
        <v>btw 51 &amp; 66</v>
      </c>
      <c r="M685">
        <f t="shared" si="11"/>
        <v>12</v>
      </c>
    </row>
    <row r="686" spans="1:13" x14ac:dyDescent="0.25">
      <c r="A686" t="s">
        <v>1273</v>
      </c>
      <c r="B686" t="s">
        <v>976</v>
      </c>
      <c r="C686">
        <v>7</v>
      </c>
      <c r="D686" t="s">
        <v>13</v>
      </c>
      <c r="E686" s="2">
        <v>45738</v>
      </c>
      <c r="F686" s="2">
        <v>45741</v>
      </c>
      <c r="G686" t="s">
        <v>50</v>
      </c>
      <c r="H686" t="s">
        <v>121</v>
      </c>
      <c r="I686" s="3">
        <v>2954.11</v>
      </c>
      <c r="J686" s="4">
        <v>80</v>
      </c>
      <c r="K686" t="s">
        <v>16</v>
      </c>
      <c r="L686" t="str" cm="1">
        <f t="array" ref="L686">_xlfn.IFS(C686&lt;18,"under 18",C686&lt;36,"btw 18 &amp; 35",C686&lt;51,"btw 36 &amp;50",C686&lt;66,"btw 51 &amp; 66",C686&gt;66,"66 &amp; above")</f>
        <v>under 18</v>
      </c>
      <c r="M686">
        <f t="shared" si="11"/>
        <v>3</v>
      </c>
    </row>
    <row r="687" spans="1:13" x14ac:dyDescent="0.25">
      <c r="A687" t="s">
        <v>1274</v>
      </c>
      <c r="B687" t="s">
        <v>970</v>
      </c>
      <c r="C687">
        <v>17</v>
      </c>
      <c r="D687" t="s">
        <v>19</v>
      </c>
      <c r="E687" s="2">
        <v>45984</v>
      </c>
      <c r="F687" s="2">
        <v>45985</v>
      </c>
      <c r="G687" t="s">
        <v>50</v>
      </c>
      <c r="H687" t="s">
        <v>131</v>
      </c>
      <c r="I687" s="3">
        <v>609.66</v>
      </c>
      <c r="J687" s="4">
        <v>90</v>
      </c>
      <c r="K687" t="s">
        <v>26</v>
      </c>
      <c r="L687" t="str" cm="1">
        <f t="array" ref="L687">_xlfn.IFS(C687&lt;18,"under 18",C687&lt;36,"btw 18 &amp; 35",C687&lt;51,"btw 36 &amp;50",C687&lt;66,"btw 51 &amp; 66",C687&gt;66,"66 &amp; above")</f>
        <v>under 18</v>
      </c>
      <c r="M687">
        <f t="shared" si="11"/>
        <v>1</v>
      </c>
    </row>
    <row r="688" spans="1:13" x14ac:dyDescent="0.25">
      <c r="A688" t="s">
        <v>1275</v>
      </c>
      <c r="B688" t="s">
        <v>436</v>
      </c>
      <c r="C688">
        <v>59</v>
      </c>
      <c r="D688" t="s">
        <v>13</v>
      </c>
      <c r="E688" s="2">
        <v>45967</v>
      </c>
      <c r="F688" s="2">
        <v>45971</v>
      </c>
      <c r="G688" t="s">
        <v>61</v>
      </c>
      <c r="H688" t="s">
        <v>134</v>
      </c>
      <c r="I688" s="3">
        <v>8093.46</v>
      </c>
      <c r="J688" s="4">
        <v>80</v>
      </c>
      <c r="K688" t="s">
        <v>16</v>
      </c>
      <c r="L688" t="str" cm="1">
        <f t="array" ref="L688">_xlfn.IFS(C688&lt;18,"under 18",C688&lt;36,"btw 18 &amp; 35",C688&lt;51,"btw 36 &amp;50",C688&lt;66,"btw 51 &amp; 66",C688&gt;66,"66 &amp; above")</f>
        <v>btw 51 &amp; 66</v>
      </c>
      <c r="M688">
        <f t="shared" si="11"/>
        <v>4</v>
      </c>
    </row>
    <row r="689" spans="1:13" x14ac:dyDescent="0.25">
      <c r="A689" t="s">
        <v>1276</v>
      </c>
      <c r="B689" t="s">
        <v>1277</v>
      </c>
      <c r="C689">
        <v>81</v>
      </c>
      <c r="D689" t="s">
        <v>13</v>
      </c>
      <c r="E689" s="2">
        <v>45746</v>
      </c>
      <c r="F689" s="2">
        <v>45747</v>
      </c>
      <c r="G689" t="s">
        <v>24</v>
      </c>
      <c r="H689" t="s">
        <v>334</v>
      </c>
      <c r="I689" s="3">
        <v>2072.19</v>
      </c>
      <c r="J689" s="4">
        <v>60</v>
      </c>
      <c r="K689" t="s">
        <v>26</v>
      </c>
      <c r="L689" t="str" cm="1">
        <f t="array" ref="L689">_xlfn.IFS(C689&lt;18,"under 18",C689&lt;36,"btw 18 &amp; 35",C689&lt;51,"btw 36 &amp;50",C689&lt;66,"btw 51 &amp; 66",C689&gt;66,"66 &amp; above")</f>
        <v>66 &amp; above</v>
      </c>
      <c r="M689">
        <f t="shared" si="11"/>
        <v>1</v>
      </c>
    </row>
    <row r="690" spans="1:13" x14ac:dyDescent="0.25">
      <c r="A690" t="s">
        <v>1278</v>
      </c>
      <c r="B690" t="s">
        <v>1279</v>
      </c>
      <c r="C690">
        <v>21</v>
      </c>
      <c r="D690" t="s">
        <v>19</v>
      </c>
      <c r="E690" s="2">
        <v>46003</v>
      </c>
      <c r="F690" s="2">
        <v>46005</v>
      </c>
      <c r="G690" t="s">
        <v>24</v>
      </c>
      <c r="H690" t="s">
        <v>83</v>
      </c>
      <c r="I690" s="3">
        <v>1895.35</v>
      </c>
      <c r="J690" s="4">
        <v>50</v>
      </c>
      <c r="K690" t="s">
        <v>21</v>
      </c>
      <c r="L690" t="str" cm="1">
        <f t="array" ref="L690">_xlfn.IFS(C690&lt;18,"under 18",C690&lt;36,"btw 18 &amp; 35",C690&lt;51,"btw 36 &amp;50",C690&lt;66,"btw 51 &amp; 66",C690&gt;66,"66 &amp; above")</f>
        <v>btw 18 &amp; 35</v>
      </c>
      <c r="M690">
        <f t="shared" si="11"/>
        <v>2</v>
      </c>
    </row>
    <row r="691" spans="1:13" x14ac:dyDescent="0.25">
      <c r="A691" t="s">
        <v>1280</v>
      </c>
      <c r="B691" t="s">
        <v>1281</v>
      </c>
      <c r="C691">
        <v>32</v>
      </c>
      <c r="D691" t="s">
        <v>13</v>
      </c>
      <c r="E691" s="2">
        <v>45995</v>
      </c>
      <c r="F691" s="2">
        <v>45996</v>
      </c>
      <c r="G691" t="s">
        <v>32</v>
      </c>
      <c r="H691" t="s">
        <v>36</v>
      </c>
      <c r="I691" s="3">
        <v>1195.19</v>
      </c>
      <c r="J691" s="4">
        <v>100</v>
      </c>
      <c r="K691" t="s">
        <v>16</v>
      </c>
      <c r="L691" t="str" cm="1">
        <f t="array" ref="L691">_xlfn.IFS(C691&lt;18,"under 18",C691&lt;36,"btw 18 &amp; 35",C691&lt;51,"btw 36 &amp;50",C691&lt;66,"btw 51 &amp; 66",C691&gt;66,"66 &amp; above")</f>
        <v>btw 18 &amp; 35</v>
      </c>
      <c r="M691">
        <f t="shared" si="11"/>
        <v>1</v>
      </c>
    </row>
    <row r="692" spans="1:13" x14ac:dyDescent="0.25">
      <c r="A692" t="s">
        <v>1282</v>
      </c>
      <c r="B692" t="s">
        <v>1283</v>
      </c>
      <c r="C692">
        <v>59</v>
      </c>
      <c r="D692" t="s">
        <v>13</v>
      </c>
      <c r="E692" s="2">
        <v>45953</v>
      </c>
      <c r="F692" s="2">
        <v>45956</v>
      </c>
      <c r="G692" t="s">
        <v>24</v>
      </c>
      <c r="H692" t="s">
        <v>42</v>
      </c>
      <c r="I692" s="3">
        <v>6880.53</v>
      </c>
      <c r="J692" s="4">
        <v>90</v>
      </c>
      <c r="K692" t="s">
        <v>21</v>
      </c>
      <c r="L692" t="str" cm="1">
        <f t="array" ref="L692">_xlfn.IFS(C692&lt;18,"under 18",C692&lt;36,"btw 18 &amp; 35",C692&lt;51,"btw 36 &amp;50",C692&lt;66,"btw 51 &amp; 66",C692&gt;66,"66 &amp; above")</f>
        <v>btw 51 &amp; 66</v>
      </c>
      <c r="M692">
        <f t="shared" si="11"/>
        <v>3</v>
      </c>
    </row>
    <row r="693" spans="1:13" x14ac:dyDescent="0.25">
      <c r="A693" t="s">
        <v>1284</v>
      </c>
      <c r="B693" t="s">
        <v>151</v>
      </c>
      <c r="C693">
        <v>3</v>
      </c>
      <c r="D693" t="s">
        <v>19</v>
      </c>
      <c r="E693" s="2">
        <v>45782</v>
      </c>
      <c r="F693" s="2">
        <v>45787</v>
      </c>
      <c r="G693" t="s">
        <v>50</v>
      </c>
      <c r="H693" t="s">
        <v>51</v>
      </c>
      <c r="I693" s="3">
        <v>8731.85</v>
      </c>
      <c r="J693" s="4">
        <v>100</v>
      </c>
      <c r="K693" t="s">
        <v>21</v>
      </c>
      <c r="L693" t="str" cm="1">
        <f t="array" ref="L693">_xlfn.IFS(C693&lt;18,"under 18",C693&lt;36,"btw 18 &amp; 35",C693&lt;51,"btw 36 &amp;50",C693&lt;66,"btw 51 &amp; 66",C693&gt;66,"66 &amp; above")</f>
        <v>under 18</v>
      </c>
      <c r="M693">
        <f t="shared" si="11"/>
        <v>5</v>
      </c>
    </row>
    <row r="694" spans="1:13" x14ac:dyDescent="0.25">
      <c r="A694" t="s">
        <v>1285</v>
      </c>
      <c r="B694" t="s">
        <v>828</v>
      </c>
      <c r="C694">
        <v>71</v>
      </c>
      <c r="D694" t="s">
        <v>19</v>
      </c>
      <c r="E694" s="2">
        <v>45673</v>
      </c>
      <c r="F694" s="2">
        <v>45679</v>
      </c>
      <c r="G694" t="s">
        <v>71</v>
      </c>
      <c r="H694" t="s">
        <v>238</v>
      </c>
      <c r="I694" s="3">
        <v>10575.02</v>
      </c>
      <c r="J694" s="4">
        <v>70</v>
      </c>
      <c r="K694" t="s">
        <v>21</v>
      </c>
      <c r="L694" t="str" cm="1">
        <f t="array" ref="L694">_xlfn.IFS(C694&lt;18,"under 18",C694&lt;36,"btw 18 &amp; 35",C694&lt;51,"btw 36 &amp;50",C694&lt;66,"btw 51 &amp; 66",C694&gt;66,"66 &amp; above")</f>
        <v>66 &amp; above</v>
      </c>
      <c r="M694">
        <f t="shared" si="11"/>
        <v>6</v>
      </c>
    </row>
    <row r="695" spans="1:13" x14ac:dyDescent="0.25">
      <c r="A695" t="s">
        <v>1286</v>
      </c>
      <c r="B695" t="s">
        <v>1287</v>
      </c>
      <c r="C695">
        <v>46</v>
      </c>
      <c r="D695" t="s">
        <v>19</v>
      </c>
      <c r="E695" s="2">
        <v>45645</v>
      </c>
      <c r="F695" s="2">
        <v>45648</v>
      </c>
      <c r="G695" t="s">
        <v>32</v>
      </c>
      <c r="H695" t="s">
        <v>88</v>
      </c>
      <c r="I695" s="3">
        <v>1975.02</v>
      </c>
      <c r="J695" s="4">
        <v>90</v>
      </c>
      <c r="K695" t="s">
        <v>26</v>
      </c>
      <c r="L695" t="str" cm="1">
        <f t="array" ref="L695">_xlfn.IFS(C695&lt;18,"under 18",C695&lt;36,"btw 18 &amp; 35",C695&lt;51,"btw 36 &amp;50",C695&lt;66,"btw 51 &amp; 66",C695&gt;66,"66 &amp; above")</f>
        <v>btw 36 &amp;50</v>
      </c>
      <c r="M695">
        <f t="shared" si="11"/>
        <v>3</v>
      </c>
    </row>
    <row r="696" spans="1:13" x14ac:dyDescent="0.25">
      <c r="A696" t="s">
        <v>1288</v>
      </c>
      <c r="B696" t="s">
        <v>1289</v>
      </c>
      <c r="C696">
        <v>47</v>
      </c>
      <c r="D696" t="s">
        <v>13</v>
      </c>
      <c r="E696" s="2">
        <v>45398</v>
      </c>
      <c r="F696" s="2">
        <v>45406</v>
      </c>
      <c r="G696" t="s">
        <v>61</v>
      </c>
      <c r="H696" t="s">
        <v>143</v>
      </c>
      <c r="I696" s="3">
        <v>14406.87</v>
      </c>
      <c r="J696" s="4">
        <v>100</v>
      </c>
      <c r="K696" t="s">
        <v>21</v>
      </c>
      <c r="L696" t="str" cm="1">
        <f t="array" ref="L696">_xlfn.IFS(C696&lt;18,"under 18",C696&lt;36,"btw 18 &amp; 35",C696&lt;51,"btw 36 &amp;50",C696&lt;66,"btw 51 &amp; 66",C696&gt;66,"66 &amp; above")</f>
        <v>btw 36 &amp;50</v>
      </c>
      <c r="M696">
        <f t="shared" si="11"/>
        <v>8</v>
      </c>
    </row>
    <row r="697" spans="1:13" x14ac:dyDescent="0.25">
      <c r="A697" t="s">
        <v>1290</v>
      </c>
      <c r="B697" t="s">
        <v>1197</v>
      </c>
      <c r="C697">
        <v>79</v>
      </c>
      <c r="D697" t="s">
        <v>19</v>
      </c>
      <c r="E697" s="2">
        <v>45912</v>
      </c>
      <c r="F697" s="2">
        <v>45917</v>
      </c>
      <c r="G697" t="s">
        <v>14</v>
      </c>
      <c r="H697" t="s">
        <v>166</v>
      </c>
      <c r="I697" s="3">
        <v>10285.16</v>
      </c>
      <c r="J697" s="4">
        <v>80</v>
      </c>
      <c r="K697" t="s">
        <v>26</v>
      </c>
      <c r="L697" t="str" cm="1">
        <f t="array" ref="L697">_xlfn.IFS(C697&lt;18,"under 18",C697&lt;36,"btw 18 &amp; 35",C697&lt;51,"btw 36 &amp;50",C697&lt;66,"btw 51 &amp; 66",C697&gt;66,"66 &amp; above")</f>
        <v>66 &amp; above</v>
      </c>
      <c r="M697">
        <f t="shared" si="11"/>
        <v>5</v>
      </c>
    </row>
    <row r="698" spans="1:13" x14ac:dyDescent="0.25">
      <c r="A698" t="s">
        <v>1291</v>
      </c>
      <c r="B698" t="s">
        <v>1292</v>
      </c>
      <c r="C698">
        <v>14</v>
      </c>
      <c r="D698" t="s">
        <v>13</v>
      </c>
      <c r="E698" s="2">
        <v>45388</v>
      </c>
      <c r="F698" s="2">
        <v>45389</v>
      </c>
      <c r="G698" t="s">
        <v>50</v>
      </c>
      <c r="H698" t="s">
        <v>51</v>
      </c>
      <c r="I698" s="3">
        <v>730.74</v>
      </c>
      <c r="J698" s="4">
        <v>0</v>
      </c>
      <c r="K698" t="s">
        <v>26</v>
      </c>
      <c r="L698" t="str" cm="1">
        <f t="array" ref="L698">_xlfn.IFS(C698&lt;18,"under 18",C698&lt;36,"btw 18 &amp; 35",C698&lt;51,"btw 36 &amp;50",C698&lt;66,"btw 51 &amp; 66",C698&gt;66,"66 &amp; above")</f>
        <v>under 18</v>
      </c>
      <c r="M698">
        <f t="shared" si="11"/>
        <v>1</v>
      </c>
    </row>
    <row r="699" spans="1:13" x14ac:dyDescent="0.25">
      <c r="A699" t="s">
        <v>1293</v>
      </c>
      <c r="B699" t="s">
        <v>1294</v>
      </c>
      <c r="C699">
        <v>30</v>
      </c>
      <c r="D699" t="s">
        <v>13</v>
      </c>
      <c r="E699" s="2">
        <v>45937</v>
      </c>
      <c r="F699" s="2">
        <v>45943</v>
      </c>
      <c r="G699" t="s">
        <v>61</v>
      </c>
      <c r="H699" t="s">
        <v>143</v>
      </c>
      <c r="I699" s="3">
        <v>12841.02</v>
      </c>
      <c r="J699" s="4">
        <v>70</v>
      </c>
      <c r="K699" t="s">
        <v>16</v>
      </c>
      <c r="L699" t="str" cm="1">
        <f t="array" ref="L699">_xlfn.IFS(C699&lt;18,"under 18",C699&lt;36,"btw 18 &amp; 35",C699&lt;51,"btw 36 &amp;50",C699&lt;66,"btw 51 &amp; 66",C699&gt;66,"66 &amp; above")</f>
        <v>btw 18 &amp; 35</v>
      </c>
      <c r="M699">
        <f t="shared" si="11"/>
        <v>6</v>
      </c>
    </row>
    <row r="700" spans="1:13" x14ac:dyDescent="0.25">
      <c r="A700" t="s">
        <v>1295</v>
      </c>
      <c r="B700" t="s">
        <v>1296</v>
      </c>
      <c r="C700">
        <v>71</v>
      </c>
      <c r="D700" t="s">
        <v>13</v>
      </c>
      <c r="E700" s="2">
        <v>45365</v>
      </c>
      <c r="F700" s="2">
        <v>45368</v>
      </c>
      <c r="G700" t="s">
        <v>71</v>
      </c>
      <c r="H700" t="s">
        <v>296</v>
      </c>
      <c r="I700" s="3">
        <v>3969.91</v>
      </c>
      <c r="J700" s="4">
        <v>90</v>
      </c>
      <c r="K700" t="s">
        <v>16</v>
      </c>
      <c r="L700" t="str" cm="1">
        <f t="array" ref="L700">_xlfn.IFS(C700&lt;18,"under 18",C700&lt;36,"btw 18 &amp; 35",C700&lt;51,"btw 36 &amp;50",C700&lt;66,"btw 51 &amp; 66",C700&gt;66,"66 &amp; above")</f>
        <v>66 &amp; above</v>
      </c>
      <c r="M700">
        <f t="shared" si="11"/>
        <v>3</v>
      </c>
    </row>
    <row r="701" spans="1:13" x14ac:dyDescent="0.25">
      <c r="A701" t="s">
        <v>1297</v>
      </c>
      <c r="B701" t="s">
        <v>1298</v>
      </c>
      <c r="C701">
        <v>47</v>
      </c>
      <c r="D701" t="s">
        <v>13</v>
      </c>
      <c r="E701" s="2">
        <v>45910</v>
      </c>
      <c r="F701" s="2">
        <v>45913</v>
      </c>
      <c r="G701" t="s">
        <v>32</v>
      </c>
      <c r="H701" t="s">
        <v>33</v>
      </c>
      <c r="I701" s="3">
        <v>3558.48</v>
      </c>
      <c r="J701" s="4">
        <v>90</v>
      </c>
      <c r="K701" t="s">
        <v>21</v>
      </c>
      <c r="L701" t="str" cm="1">
        <f t="array" ref="L701">_xlfn.IFS(C701&lt;18,"under 18",C701&lt;36,"btw 18 &amp; 35",C701&lt;51,"btw 36 &amp;50",C701&lt;66,"btw 51 &amp; 66",C701&gt;66,"66 &amp; above")</f>
        <v>btw 36 &amp;50</v>
      </c>
      <c r="M701">
        <f t="shared" si="11"/>
        <v>3</v>
      </c>
    </row>
    <row r="702" spans="1:13" x14ac:dyDescent="0.25">
      <c r="A702" t="s">
        <v>1299</v>
      </c>
      <c r="B702" t="s">
        <v>1300</v>
      </c>
      <c r="C702">
        <v>35</v>
      </c>
      <c r="D702" t="s">
        <v>13</v>
      </c>
      <c r="E702" s="2">
        <v>45647</v>
      </c>
      <c r="F702" s="2">
        <v>45649</v>
      </c>
      <c r="G702" t="s">
        <v>24</v>
      </c>
      <c r="H702" t="s">
        <v>29</v>
      </c>
      <c r="I702" s="3">
        <v>2492.36</v>
      </c>
      <c r="J702" s="4">
        <v>90</v>
      </c>
      <c r="K702" t="s">
        <v>26</v>
      </c>
      <c r="L702" t="str" cm="1">
        <f t="array" ref="L702">_xlfn.IFS(C702&lt;18,"under 18",C702&lt;36,"btw 18 &amp; 35",C702&lt;51,"btw 36 &amp;50",C702&lt;66,"btw 51 &amp; 66",C702&gt;66,"66 &amp; above")</f>
        <v>btw 18 &amp; 35</v>
      </c>
      <c r="M702">
        <f t="shared" si="11"/>
        <v>2</v>
      </c>
    </row>
    <row r="703" spans="1:13" x14ac:dyDescent="0.25">
      <c r="A703" t="s">
        <v>1301</v>
      </c>
      <c r="B703" t="s">
        <v>1302</v>
      </c>
      <c r="C703">
        <v>64</v>
      </c>
      <c r="D703" t="s">
        <v>13</v>
      </c>
      <c r="E703" s="2">
        <v>45752</v>
      </c>
      <c r="F703" s="2">
        <v>45755</v>
      </c>
      <c r="G703" t="s">
        <v>32</v>
      </c>
      <c r="H703" t="s">
        <v>235</v>
      </c>
      <c r="I703" s="3">
        <v>2931.95</v>
      </c>
      <c r="J703" s="4">
        <v>100</v>
      </c>
      <c r="K703" t="s">
        <v>16</v>
      </c>
      <c r="L703" t="str" cm="1">
        <f t="array" ref="L703">_xlfn.IFS(C703&lt;18,"under 18",C703&lt;36,"btw 18 &amp; 35",C703&lt;51,"btw 36 &amp;50",C703&lt;66,"btw 51 &amp; 66",C703&gt;66,"66 &amp; above")</f>
        <v>btw 51 &amp; 66</v>
      </c>
      <c r="M703">
        <f t="shared" si="11"/>
        <v>3</v>
      </c>
    </row>
    <row r="704" spans="1:13" x14ac:dyDescent="0.25">
      <c r="A704" t="s">
        <v>1303</v>
      </c>
      <c r="B704" t="s">
        <v>1304</v>
      </c>
      <c r="C704">
        <v>39</v>
      </c>
      <c r="D704" t="s">
        <v>19</v>
      </c>
      <c r="E704" s="2">
        <v>45634</v>
      </c>
      <c r="F704" s="2">
        <v>45636</v>
      </c>
      <c r="G704" t="s">
        <v>24</v>
      </c>
      <c r="H704" t="s">
        <v>205</v>
      </c>
      <c r="I704" s="3">
        <v>3264.79</v>
      </c>
      <c r="J704" s="4">
        <v>70</v>
      </c>
      <c r="K704" t="s">
        <v>16</v>
      </c>
      <c r="L704" t="str" cm="1">
        <f t="array" ref="L704">_xlfn.IFS(C704&lt;18,"under 18",C704&lt;36,"btw 18 &amp; 35",C704&lt;51,"btw 36 &amp;50",C704&lt;66,"btw 51 &amp; 66",C704&gt;66,"66 &amp; above")</f>
        <v>btw 36 &amp;50</v>
      </c>
      <c r="M704">
        <f t="shared" si="11"/>
        <v>2</v>
      </c>
    </row>
    <row r="705" spans="1:13" x14ac:dyDescent="0.25">
      <c r="A705" t="s">
        <v>1305</v>
      </c>
      <c r="B705" t="s">
        <v>1306</v>
      </c>
      <c r="C705">
        <v>65</v>
      </c>
      <c r="D705" t="s">
        <v>13</v>
      </c>
      <c r="E705" s="2">
        <v>46019</v>
      </c>
      <c r="F705" s="2">
        <v>46023</v>
      </c>
      <c r="G705" t="s">
        <v>32</v>
      </c>
      <c r="H705" t="s">
        <v>88</v>
      </c>
      <c r="I705" s="3">
        <v>5976.06</v>
      </c>
      <c r="J705" s="4">
        <v>70</v>
      </c>
      <c r="K705" t="s">
        <v>21</v>
      </c>
      <c r="L705" t="str" cm="1">
        <f t="array" ref="L705">_xlfn.IFS(C705&lt;18,"under 18",C705&lt;36,"btw 18 &amp; 35",C705&lt;51,"btw 36 &amp;50",C705&lt;66,"btw 51 &amp; 66",C705&gt;66,"66 &amp; above")</f>
        <v>btw 51 &amp; 66</v>
      </c>
      <c r="M705">
        <f t="shared" si="11"/>
        <v>4</v>
      </c>
    </row>
    <row r="706" spans="1:13" x14ac:dyDescent="0.25">
      <c r="A706" t="s">
        <v>1307</v>
      </c>
      <c r="B706" t="s">
        <v>844</v>
      </c>
      <c r="C706">
        <v>85</v>
      </c>
      <c r="D706" t="s">
        <v>19</v>
      </c>
      <c r="E706" s="2">
        <v>45742</v>
      </c>
      <c r="F706" s="2">
        <v>45743</v>
      </c>
      <c r="G706" t="s">
        <v>32</v>
      </c>
      <c r="H706" t="s">
        <v>33</v>
      </c>
      <c r="I706" s="3">
        <v>1133.0999999999999</v>
      </c>
      <c r="J706" s="4">
        <v>70</v>
      </c>
      <c r="K706" t="s">
        <v>21</v>
      </c>
      <c r="L706" t="str" cm="1">
        <f t="array" ref="L706">_xlfn.IFS(C706&lt;18,"under 18",C706&lt;36,"btw 18 &amp; 35",C706&lt;51,"btw 36 &amp;50",C706&lt;66,"btw 51 &amp; 66",C706&gt;66,"66 &amp; above")</f>
        <v>66 &amp; above</v>
      </c>
      <c r="M706">
        <f t="shared" si="11"/>
        <v>1</v>
      </c>
    </row>
    <row r="707" spans="1:13" x14ac:dyDescent="0.25">
      <c r="A707" t="s">
        <v>1308</v>
      </c>
      <c r="B707" t="s">
        <v>1102</v>
      </c>
      <c r="C707">
        <v>85</v>
      </c>
      <c r="D707" t="s">
        <v>13</v>
      </c>
      <c r="E707" s="2">
        <v>45897</v>
      </c>
      <c r="F707" s="2">
        <v>45899</v>
      </c>
      <c r="G707" t="s">
        <v>24</v>
      </c>
      <c r="H707" t="s">
        <v>205</v>
      </c>
      <c r="I707" s="3">
        <v>4676.38</v>
      </c>
      <c r="J707" s="4">
        <v>90</v>
      </c>
      <c r="K707" t="s">
        <v>16</v>
      </c>
      <c r="L707" t="str" cm="1">
        <f t="array" ref="L707">_xlfn.IFS(C707&lt;18,"under 18",C707&lt;36,"btw 18 &amp; 35",C707&lt;51,"btw 36 &amp;50",C707&lt;66,"btw 51 &amp; 66",C707&gt;66,"66 &amp; above")</f>
        <v>66 &amp; above</v>
      </c>
      <c r="M707">
        <f t="shared" ref="M707:M770" si="12">AVERAGE(F707-E707)</f>
        <v>2</v>
      </c>
    </row>
    <row r="708" spans="1:13" x14ac:dyDescent="0.25">
      <c r="A708" t="s">
        <v>1309</v>
      </c>
      <c r="B708" t="s">
        <v>1035</v>
      </c>
      <c r="C708">
        <v>72</v>
      </c>
      <c r="D708" t="s">
        <v>13</v>
      </c>
      <c r="E708" s="2">
        <v>45664</v>
      </c>
      <c r="F708" s="2">
        <v>45666</v>
      </c>
      <c r="G708" t="s">
        <v>24</v>
      </c>
      <c r="H708" t="s">
        <v>205</v>
      </c>
      <c r="I708" s="3">
        <v>2041.86</v>
      </c>
      <c r="J708" s="4">
        <v>90</v>
      </c>
      <c r="K708" t="s">
        <v>16</v>
      </c>
      <c r="L708" t="str" cm="1">
        <f t="array" ref="L708">_xlfn.IFS(C708&lt;18,"under 18",C708&lt;36,"btw 18 &amp; 35",C708&lt;51,"btw 36 &amp;50",C708&lt;66,"btw 51 &amp; 66",C708&gt;66,"66 &amp; above")</f>
        <v>66 &amp; above</v>
      </c>
      <c r="M708">
        <f t="shared" si="12"/>
        <v>2</v>
      </c>
    </row>
    <row r="709" spans="1:13" x14ac:dyDescent="0.25">
      <c r="A709" t="s">
        <v>1310</v>
      </c>
      <c r="B709" t="s">
        <v>974</v>
      </c>
      <c r="C709">
        <v>40</v>
      </c>
      <c r="D709" t="s">
        <v>19</v>
      </c>
      <c r="E709" s="2">
        <v>45495</v>
      </c>
      <c r="F709" s="2">
        <v>45501</v>
      </c>
      <c r="G709" t="s">
        <v>14</v>
      </c>
      <c r="H709" t="s">
        <v>166</v>
      </c>
      <c r="I709" s="3">
        <v>11703.16</v>
      </c>
      <c r="J709" s="4">
        <v>90</v>
      </c>
      <c r="K709" t="s">
        <v>16</v>
      </c>
      <c r="L709" t="str" cm="1">
        <f t="array" ref="L709">_xlfn.IFS(C709&lt;18,"under 18",C709&lt;36,"btw 18 &amp; 35",C709&lt;51,"btw 36 &amp;50",C709&lt;66,"btw 51 &amp; 66",C709&gt;66,"66 &amp; above")</f>
        <v>btw 36 &amp;50</v>
      </c>
      <c r="M709">
        <f t="shared" si="12"/>
        <v>6</v>
      </c>
    </row>
    <row r="710" spans="1:13" x14ac:dyDescent="0.25">
      <c r="A710" t="s">
        <v>1311</v>
      </c>
      <c r="B710" t="s">
        <v>28</v>
      </c>
      <c r="C710">
        <v>6</v>
      </c>
      <c r="D710" t="s">
        <v>19</v>
      </c>
      <c r="E710" s="2">
        <v>45942</v>
      </c>
      <c r="F710" s="2">
        <v>45943</v>
      </c>
      <c r="G710" t="s">
        <v>50</v>
      </c>
      <c r="H710" t="s">
        <v>131</v>
      </c>
      <c r="I710" s="3">
        <v>1336.01</v>
      </c>
      <c r="J710" s="4">
        <v>80</v>
      </c>
      <c r="K710" t="s">
        <v>21</v>
      </c>
      <c r="L710" t="str" cm="1">
        <f t="array" ref="L710">_xlfn.IFS(C710&lt;18,"under 18",C710&lt;36,"btw 18 &amp; 35",C710&lt;51,"btw 36 &amp;50",C710&lt;66,"btw 51 &amp; 66",C710&gt;66,"66 &amp; above")</f>
        <v>under 18</v>
      </c>
      <c r="M710">
        <f t="shared" si="12"/>
        <v>1</v>
      </c>
    </row>
    <row r="711" spans="1:13" x14ac:dyDescent="0.25">
      <c r="A711" t="s">
        <v>1312</v>
      </c>
      <c r="B711" t="s">
        <v>1313</v>
      </c>
      <c r="C711">
        <v>81</v>
      </c>
      <c r="D711" t="s">
        <v>13</v>
      </c>
      <c r="E711" s="2">
        <v>45777</v>
      </c>
      <c r="F711" s="2">
        <v>45785</v>
      </c>
      <c r="G711" t="s">
        <v>14</v>
      </c>
      <c r="H711" t="s">
        <v>15</v>
      </c>
      <c r="I711" s="3">
        <v>21413.919999999998</v>
      </c>
      <c r="J711" s="4">
        <v>80</v>
      </c>
      <c r="K711" t="s">
        <v>16</v>
      </c>
      <c r="L711" t="str" cm="1">
        <f t="array" ref="L711">_xlfn.IFS(C711&lt;18,"under 18",C711&lt;36,"btw 18 &amp; 35",C711&lt;51,"btw 36 &amp;50",C711&lt;66,"btw 51 &amp; 66",C711&gt;66,"66 &amp; above")</f>
        <v>66 &amp; above</v>
      </c>
      <c r="M711">
        <f t="shared" si="12"/>
        <v>8</v>
      </c>
    </row>
    <row r="712" spans="1:13" x14ac:dyDescent="0.25">
      <c r="A712" t="s">
        <v>1314</v>
      </c>
      <c r="B712" t="s">
        <v>1211</v>
      </c>
      <c r="C712">
        <v>56</v>
      </c>
      <c r="D712" t="s">
        <v>19</v>
      </c>
      <c r="E712" s="2">
        <v>45654</v>
      </c>
      <c r="F712" s="2">
        <v>45656</v>
      </c>
      <c r="G712" t="s">
        <v>24</v>
      </c>
      <c r="H712" t="s">
        <v>222</v>
      </c>
      <c r="I712" s="3">
        <v>4020.17</v>
      </c>
      <c r="J712" s="4">
        <v>80</v>
      </c>
      <c r="K712" t="s">
        <v>26</v>
      </c>
      <c r="L712" t="str" cm="1">
        <f t="array" ref="L712">_xlfn.IFS(C712&lt;18,"under 18",C712&lt;36,"btw 18 &amp; 35",C712&lt;51,"btw 36 &amp;50",C712&lt;66,"btw 51 &amp; 66",C712&gt;66,"66 &amp; above")</f>
        <v>btw 51 &amp; 66</v>
      </c>
      <c r="M712">
        <f t="shared" si="12"/>
        <v>2</v>
      </c>
    </row>
    <row r="713" spans="1:13" x14ac:dyDescent="0.25">
      <c r="A713" t="s">
        <v>1315</v>
      </c>
      <c r="B713" t="s">
        <v>1316</v>
      </c>
      <c r="C713">
        <v>66</v>
      </c>
      <c r="D713" t="s">
        <v>19</v>
      </c>
      <c r="E713" s="2">
        <v>45465</v>
      </c>
      <c r="F713" s="2">
        <v>45477</v>
      </c>
      <c r="G713" t="s">
        <v>61</v>
      </c>
      <c r="H713" t="s">
        <v>78</v>
      </c>
      <c r="I713" s="3">
        <v>28053.05</v>
      </c>
      <c r="J713" s="4">
        <v>80</v>
      </c>
      <c r="K713" t="s">
        <v>16</v>
      </c>
      <c r="L713" t="e" cm="1">
        <f t="array" ref="L713">_xlfn.IFS(C713&lt;18,"under 18",C713&lt;36,"btw 18 &amp; 35",C713&lt;51,"btw 36 &amp;50",C713&lt;66,"btw 51 &amp; 66",C713&gt;66,"66 &amp; above")</f>
        <v>#N/A</v>
      </c>
      <c r="M713">
        <f t="shared" si="12"/>
        <v>12</v>
      </c>
    </row>
    <row r="714" spans="1:13" x14ac:dyDescent="0.25">
      <c r="A714" t="s">
        <v>1317</v>
      </c>
      <c r="B714" t="s">
        <v>595</v>
      </c>
      <c r="C714">
        <v>34</v>
      </c>
      <c r="D714" t="s">
        <v>19</v>
      </c>
      <c r="E714" s="2">
        <v>45558</v>
      </c>
      <c r="F714" s="2">
        <v>45569</v>
      </c>
      <c r="G714" t="s">
        <v>71</v>
      </c>
      <c r="H714" t="s">
        <v>296</v>
      </c>
      <c r="I714" s="3">
        <v>23948.97</v>
      </c>
      <c r="J714" s="4">
        <v>100</v>
      </c>
      <c r="K714" t="s">
        <v>16</v>
      </c>
      <c r="L714" t="str" cm="1">
        <f t="array" ref="L714">_xlfn.IFS(C714&lt;18,"under 18",C714&lt;36,"btw 18 &amp; 35",C714&lt;51,"btw 36 &amp;50",C714&lt;66,"btw 51 &amp; 66",C714&gt;66,"66 &amp; above")</f>
        <v>btw 18 &amp; 35</v>
      </c>
      <c r="M714">
        <f t="shared" si="12"/>
        <v>11</v>
      </c>
    </row>
    <row r="715" spans="1:13" x14ac:dyDescent="0.25">
      <c r="A715" t="s">
        <v>1318</v>
      </c>
      <c r="B715" t="s">
        <v>1319</v>
      </c>
      <c r="C715">
        <v>84</v>
      </c>
      <c r="D715" t="s">
        <v>13</v>
      </c>
      <c r="E715" s="2">
        <v>45741</v>
      </c>
      <c r="F715" s="2">
        <v>45750</v>
      </c>
      <c r="G715" t="s">
        <v>14</v>
      </c>
      <c r="H715" t="s">
        <v>103</v>
      </c>
      <c r="I715" s="3">
        <v>23623.51</v>
      </c>
      <c r="J715" s="4">
        <v>90</v>
      </c>
      <c r="K715" t="s">
        <v>21</v>
      </c>
      <c r="L715" t="str" cm="1">
        <f t="array" ref="L715">_xlfn.IFS(C715&lt;18,"under 18",C715&lt;36,"btw 18 &amp; 35",C715&lt;51,"btw 36 &amp;50",C715&lt;66,"btw 51 &amp; 66",C715&gt;66,"66 &amp; above")</f>
        <v>66 &amp; above</v>
      </c>
      <c r="M715">
        <f t="shared" si="12"/>
        <v>9</v>
      </c>
    </row>
    <row r="716" spans="1:13" x14ac:dyDescent="0.25">
      <c r="A716" t="s">
        <v>1320</v>
      </c>
      <c r="B716" t="s">
        <v>1321</v>
      </c>
      <c r="C716">
        <v>34</v>
      </c>
      <c r="D716" t="s">
        <v>13</v>
      </c>
      <c r="E716" s="2">
        <v>45894</v>
      </c>
      <c r="F716" s="2">
        <v>45900</v>
      </c>
      <c r="G716" t="s">
        <v>71</v>
      </c>
      <c r="H716" t="s">
        <v>238</v>
      </c>
      <c r="I716" s="3">
        <v>10445.299999999999</v>
      </c>
      <c r="J716" s="4">
        <v>60</v>
      </c>
      <c r="K716" t="s">
        <v>26</v>
      </c>
      <c r="L716" t="str" cm="1">
        <f t="array" ref="L716">_xlfn.IFS(C716&lt;18,"under 18",C716&lt;36,"btw 18 &amp; 35",C716&lt;51,"btw 36 &amp;50",C716&lt;66,"btw 51 &amp; 66",C716&gt;66,"66 &amp; above")</f>
        <v>btw 18 &amp; 35</v>
      </c>
      <c r="M716">
        <f t="shared" si="12"/>
        <v>6</v>
      </c>
    </row>
    <row r="717" spans="1:13" x14ac:dyDescent="0.25">
      <c r="A717" t="s">
        <v>1322</v>
      </c>
      <c r="B717" t="s">
        <v>1323</v>
      </c>
      <c r="C717">
        <v>51</v>
      </c>
      <c r="D717" t="s">
        <v>13</v>
      </c>
      <c r="E717" s="2">
        <v>45891</v>
      </c>
      <c r="F717" s="2">
        <v>45898</v>
      </c>
      <c r="G717" t="s">
        <v>61</v>
      </c>
      <c r="H717" t="s">
        <v>75</v>
      </c>
      <c r="I717" s="3">
        <v>19007.18</v>
      </c>
      <c r="J717" s="4">
        <v>70</v>
      </c>
      <c r="K717" t="s">
        <v>16</v>
      </c>
      <c r="L717" t="str" cm="1">
        <f t="array" ref="L717">_xlfn.IFS(C717&lt;18,"under 18",C717&lt;36,"btw 18 &amp; 35",C717&lt;51,"btw 36 &amp;50",C717&lt;66,"btw 51 &amp; 66",C717&gt;66,"66 &amp; above")</f>
        <v>btw 51 &amp; 66</v>
      </c>
      <c r="M717">
        <f t="shared" si="12"/>
        <v>7</v>
      </c>
    </row>
    <row r="718" spans="1:13" x14ac:dyDescent="0.25">
      <c r="A718" t="s">
        <v>1324</v>
      </c>
      <c r="B718" t="s">
        <v>359</v>
      </c>
      <c r="C718">
        <v>43</v>
      </c>
      <c r="D718" t="s">
        <v>13</v>
      </c>
      <c r="E718" s="2">
        <v>45790</v>
      </c>
      <c r="F718" s="2">
        <v>45793</v>
      </c>
      <c r="G718" t="s">
        <v>24</v>
      </c>
      <c r="H718" t="s">
        <v>25</v>
      </c>
      <c r="I718" s="3">
        <v>2458.7600000000002</v>
      </c>
      <c r="J718" s="4">
        <v>90</v>
      </c>
      <c r="K718" t="s">
        <v>16</v>
      </c>
      <c r="L718" t="str" cm="1">
        <f t="array" ref="L718">_xlfn.IFS(C718&lt;18,"under 18",C718&lt;36,"btw 18 &amp; 35",C718&lt;51,"btw 36 &amp;50",C718&lt;66,"btw 51 &amp; 66",C718&gt;66,"66 &amp; above")</f>
        <v>btw 36 &amp;50</v>
      </c>
      <c r="M718">
        <f t="shared" si="12"/>
        <v>3</v>
      </c>
    </row>
    <row r="719" spans="1:13" x14ac:dyDescent="0.25">
      <c r="A719" t="s">
        <v>1325</v>
      </c>
      <c r="B719" t="s">
        <v>1326</v>
      </c>
      <c r="C719">
        <v>32</v>
      </c>
      <c r="D719" t="s">
        <v>13</v>
      </c>
      <c r="E719" s="2">
        <v>45678</v>
      </c>
      <c r="F719" s="2">
        <v>45686</v>
      </c>
      <c r="G719" t="s">
        <v>61</v>
      </c>
      <c r="H719" t="s">
        <v>143</v>
      </c>
      <c r="I719" s="3">
        <v>14632.49</v>
      </c>
      <c r="J719" s="4">
        <v>60</v>
      </c>
      <c r="K719" t="s">
        <v>26</v>
      </c>
      <c r="L719" t="str" cm="1">
        <f t="array" ref="L719">_xlfn.IFS(C719&lt;18,"under 18",C719&lt;36,"btw 18 &amp; 35",C719&lt;51,"btw 36 &amp;50",C719&lt;66,"btw 51 &amp; 66",C719&gt;66,"66 &amp; above")</f>
        <v>btw 18 &amp; 35</v>
      </c>
      <c r="M719">
        <f t="shared" si="12"/>
        <v>8</v>
      </c>
    </row>
    <row r="720" spans="1:13" x14ac:dyDescent="0.25">
      <c r="A720" t="s">
        <v>1327</v>
      </c>
      <c r="B720" t="s">
        <v>920</v>
      </c>
      <c r="C720">
        <v>34</v>
      </c>
      <c r="D720" t="s">
        <v>19</v>
      </c>
      <c r="E720" s="2">
        <v>45740</v>
      </c>
      <c r="F720" s="2">
        <v>45745</v>
      </c>
      <c r="G720" t="s">
        <v>32</v>
      </c>
      <c r="H720" t="s">
        <v>54</v>
      </c>
      <c r="I720" s="3">
        <v>2891.81</v>
      </c>
      <c r="J720" s="4">
        <v>80</v>
      </c>
      <c r="K720" t="s">
        <v>16</v>
      </c>
      <c r="L720" t="str" cm="1">
        <f t="array" ref="L720">_xlfn.IFS(C720&lt;18,"under 18",C720&lt;36,"btw 18 &amp; 35",C720&lt;51,"btw 36 &amp;50",C720&lt;66,"btw 51 &amp; 66",C720&gt;66,"66 &amp; above")</f>
        <v>btw 18 &amp; 35</v>
      </c>
      <c r="M720">
        <f t="shared" si="12"/>
        <v>5</v>
      </c>
    </row>
    <row r="721" spans="1:13" x14ac:dyDescent="0.25">
      <c r="A721" t="s">
        <v>1328</v>
      </c>
      <c r="B721" t="s">
        <v>871</v>
      </c>
      <c r="C721">
        <v>54</v>
      </c>
      <c r="D721" t="s">
        <v>19</v>
      </c>
      <c r="E721" s="2">
        <v>45551</v>
      </c>
      <c r="F721" s="2">
        <v>45554</v>
      </c>
      <c r="G721" t="s">
        <v>14</v>
      </c>
      <c r="H721" t="s">
        <v>112</v>
      </c>
      <c r="I721" s="3">
        <v>8029.13</v>
      </c>
      <c r="J721" s="4">
        <v>80</v>
      </c>
      <c r="K721" t="s">
        <v>21</v>
      </c>
      <c r="L721" t="str" cm="1">
        <f t="array" ref="L721">_xlfn.IFS(C721&lt;18,"under 18",C721&lt;36,"btw 18 &amp; 35",C721&lt;51,"btw 36 &amp;50",C721&lt;66,"btw 51 &amp; 66",C721&gt;66,"66 &amp; above")</f>
        <v>btw 51 &amp; 66</v>
      </c>
      <c r="M721">
        <f t="shared" si="12"/>
        <v>3</v>
      </c>
    </row>
    <row r="722" spans="1:13" x14ac:dyDescent="0.25">
      <c r="A722" t="s">
        <v>1329</v>
      </c>
      <c r="B722" t="s">
        <v>1330</v>
      </c>
      <c r="C722">
        <v>45</v>
      </c>
      <c r="D722" t="s">
        <v>13</v>
      </c>
      <c r="E722" s="2">
        <v>45973</v>
      </c>
      <c r="F722" s="2">
        <v>45974</v>
      </c>
      <c r="G722" t="s">
        <v>32</v>
      </c>
      <c r="H722" t="s">
        <v>36</v>
      </c>
      <c r="I722" s="3">
        <v>858.67</v>
      </c>
      <c r="J722" s="4">
        <v>80</v>
      </c>
      <c r="K722" t="s">
        <v>16</v>
      </c>
      <c r="L722" t="str" cm="1">
        <f t="array" ref="L722">_xlfn.IFS(C722&lt;18,"under 18",C722&lt;36,"btw 18 &amp; 35",C722&lt;51,"btw 36 &amp;50",C722&lt;66,"btw 51 &amp; 66",C722&gt;66,"66 &amp; above")</f>
        <v>btw 36 &amp;50</v>
      </c>
      <c r="M722">
        <f t="shared" si="12"/>
        <v>1</v>
      </c>
    </row>
    <row r="723" spans="1:13" x14ac:dyDescent="0.25">
      <c r="A723" t="s">
        <v>1331</v>
      </c>
      <c r="B723" t="s">
        <v>1332</v>
      </c>
      <c r="C723">
        <v>16</v>
      </c>
      <c r="D723" t="s">
        <v>13</v>
      </c>
      <c r="E723" s="2">
        <v>45978</v>
      </c>
      <c r="F723" s="2">
        <v>45980</v>
      </c>
      <c r="G723" t="s">
        <v>50</v>
      </c>
      <c r="H723" t="s">
        <v>379</v>
      </c>
      <c r="I723" s="3">
        <v>3460.07</v>
      </c>
      <c r="J723" s="4">
        <v>100</v>
      </c>
      <c r="K723" t="s">
        <v>21</v>
      </c>
      <c r="L723" t="str" cm="1">
        <f t="array" ref="L723">_xlfn.IFS(C723&lt;18,"under 18",C723&lt;36,"btw 18 &amp; 35",C723&lt;51,"btw 36 &amp;50",C723&lt;66,"btw 51 &amp; 66",C723&gt;66,"66 &amp; above")</f>
        <v>under 18</v>
      </c>
      <c r="M723">
        <f t="shared" si="12"/>
        <v>2</v>
      </c>
    </row>
    <row r="724" spans="1:13" x14ac:dyDescent="0.25">
      <c r="A724" t="s">
        <v>1333</v>
      </c>
      <c r="B724" t="s">
        <v>1334</v>
      </c>
      <c r="C724">
        <v>48</v>
      </c>
      <c r="D724" t="s">
        <v>13</v>
      </c>
      <c r="E724" s="2">
        <v>45879</v>
      </c>
      <c r="F724" s="2">
        <v>45886</v>
      </c>
      <c r="G724" t="s">
        <v>32</v>
      </c>
      <c r="H724" t="s">
        <v>88</v>
      </c>
      <c r="I724" s="3">
        <v>7776.12</v>
      </c>
      <c r="J724" s="4">
        <v>60</v>
      </c>
      <c r="K724" t="s">
        <v>21</v>
      </c>
      <c r="L724" t="str" cm="1">
        <f t="array" ref="L724">_xlfn.IFS(C724&lt;18,"under 18",C724&lt;36,"btw 18 &amp; 35",C724&lt;51,"btw 36 &amp;50",C724&lt;66,"btw 51 &amp; 66",C724&gt;66,"66 &amp; above")</f>
        <v>btw 36 &amp;50</v>
      </c>
      <c r="M724">
        <f t="shared" si="12"/>
        <v>7</v>
      </c>
    </row>
    <row r="725" spans="1:13" x14ac:dyDescent="0.25">
      <c r="A725" t="s">
        <v>1335</v>
      </c>
      <c r="B725" t="s">
        <v>652</v>
      </c>
      <c r="C725">
        <v>69</v>
      </c>
      <c r="D725" t="s">
        <v>13</v>
      </c>
      <c r="E725" s="2">
        <v>45410</v>
      </c>
      <c r="F725" s="2">
        <v>45412</v>
      </c>
      <c r="G725" t="s">
        <v>24</v>
      </c>
      <c r="H725" t="s">
        <v>29</v>
      </c>
      <c r="I725" s="3">
        <v>4547.8500000000004</v>
      </c>
      <c r="J725" s="4">
        <v>70</v>
      </c>
      <c r="K725" t="s">
        <v>26</v>
      </c>
      <c r="L725" t="str" cm="1">
        <f t="array" ref="L725">_xlfn.IFS(C725&lt;18,"under 18",C725&lt;36,"btw 18 &amp; 35",C725&lt;51,"btw 36 &amp;50",C725&lt;66,"btw 51 &amp; 66",C725&gt;66,"66 &amp; above")</f>
        <v>66 &amp; above</v>
      </c>
      <c r="M725">
        <f t="shared" si="12"/>
        <v>2</v>
      </c>
    </row>
    <row r="726" spans="1:13" x14ac:dyDescent="0.25">
      <c r="A726" t="s">
        <v>1336</v>
      </c>
      <c r="B726" t="s">
        <v>1337</v>
      </c>
      <c r="C726">
        <v>68</v>
      </c>
      <c r="D726" t="s">
        <v>19</v>
      </c>
      <c r="E726" s="2">
        <v>45395</v>
      </c>
      <c r="F726" s="2">
        <v>45400</v>
      </c>
      <c r="G726" t="s">
        <v>14</v>
      </c>
      <c r="H726" t="s">
        <v>39</v>
      </c>
      <c r="I726" s="3">
        <v>11509.91</v>
      </c>
      <c r="J726" s="4">
        <v>0</v>
      </c>
      <c r="K726" t="s">
        <v>21</v>
      </c>
      <c r="L726" t="str" cm="1">
        <f t="array" ref="L726">_xlfn.IFS(C726&lt;18,"under 18",C726&lt;36,"btw 18 &amp; 35",C726&lt;51,"btw 36 &amp;50",C726&lt;66,"btw 51 &amp; 66",C726&gt;66,"66 &amp; above")</f>
        <v>66 &amp; above</v>
      </c>
      <c r="M726">
        <f t="shared" si="12"/>
        <v>5</v>
      </c>
    </row>
    <row r="727" spans="1:13" x14ac:dyDescent="0.25">
      <c r="A727" t="s">
        <v>1338</v>
      </c>
      <c r="B727" t="s">
        <v>336</v>
      </c>
      <c r="C727">
        <v>22</v>
      </c>
      <c r="D727" t="s">
        <v>19</v>
      </c>
      <c r="E727" s="2">
        <v>45453</v>
      </c>
      <c r="F727" s="2">
        <v>45456</v>
      </c>
      <c r="G727" t="s">
        <v>24</v>
      </c>
      <c r="H727" t="s">
        <v>222</v>
      </c>
      <c r="I727" s="3">
        <v>2402.42</v>
      </c>
      <c r="J727" s="4">
        <v>100</v>
      </c>
      <c r="K727" t="s">
        <v>16</v>
      </c>
      <c r="L727" t="str" cm="1">
        <f t="array" ref="L727">_xlfn.IFS(C727&lt;18,"under 18",C727&lt;36,"btw 18 &amp; 35",C727&lt;51,"btw 36 &amp;50",C727&lt;66,"btw 51 &amp; 66",C727&gt;66,"66 &amp; above")</f>
        <v>btw 18 &amp; 35</v>
      </c>
      <c r="M727">
        <f t="shared" si="12"/>
        <v>3</v>
      </c>
    </row>
    <row r="728" spans="1:13" x14ac:dyDescent="0.25">
      <c r="A728" t="s">
        <v>1339</v>
      </c>
      <c r="B728" t="s">
        <v>1340</v>
      </c>
      <c r="C728">
        <v>15</v>
      </c>
      <c r="D728" t="s">
        <v>13</v>
      </c>
      <c r="E728" s="2">
        <v>45352</v>
      </c>
      <c r="F728" s="2">
        <v>45356</v>
      </c>
      <c r="G728" t="s">
        <v>50</v>
      </c>
      <c r="H728" t="s">
        <v>51</v>
      </c>
      <c r="I728" s="3">
        <v>4108.03</v>
      </c>
      <c r="J728" s="4">
        <v>80</v>
      </c>
      <c r="K728" t="s">
        <v>16</v>
      </c>
      <c r="L728" t="str" cm="1">
        <f t="array" ref="L728">_xlfn.IFS(C728&lt;18,"under 18",C728&lt;36,"btw 18 &amp; 35",C728&lt;51,"btw 36 &amp;50",C728&lt;66,"btw 51 &amp; 66",C728&gt;66,"66 &amp; above")</f>
        <v>under 18</v>
      </c>
      <c r="M728">
        <f t="shared" si="12"/>
        <v>4</v>
      </c>
    </row>
    <row r="729" spans="1:13" x14ac:dyDescent="0.25">
      <c r="A729" t="s">
        <v>1341</v>
      </c>
      <c r="B729" t="s">
        <v>1342</v>
      </c>
      <c r="C729">
        <v>48</v>
      </c>
      <c r="D729" t="s">
        <v>19</v>
      </c>
      <c r="E729" s="2">
        <v>45674</v>
      </c>
      <c r="F729" s="2">
        <v>45680</v>
      </c>
      <c r="G729" t="s">
        <v>32</v>
      </c>
      <c r="H729" t="s">
        <v>88</v>
      </c>
      <c r="I729" s="3">
        <v>3552.94</v>
      </c>
      <c r="J729" s="4">
        <v>80</v>
      </c>
      <c r="K729" t="s">
        <v>21</v>
      </c>
      <c r="L729" t="str" cm="1">
        <f t="array" ref="L729">_xlfn.IFS(C729&lt;18,"under 18",C729&lt;36,"btw 18 &amp; 35",C729&lt;51,"btw 36 &amp;50",C729&lt;66,"btw 51 &amp; 66",C729&gt;66,"66 &amp; above")</f>
        <v>btw 36 &amp;50</v>
      </c>
      <c r="M729">
        <f t="shared" si="12"/>
        <v>6</v>
      </c>
    </row>
    <row r="730" spans="1:13" x14ac:dyDescent="0.25">
      <c r="A730" t="s">
        <v>1343</v>
      </c>
      <c r="B730" t="s">
        <v>722</v>
      </c>
      <c r="C730">
        <v>85</v>
      </c>
      <c r="D730" t="s">
        <v>19</v>
      </c>
      <c r="E730" s="2">
        <v>45521</v>
      </c>
      <c r="F730" s="2">
        <v>45524</v>
      </c>
      <c r="G730" t="s">
        <v>24</v>
      </c>
      <c r="H730" t="s">
        <v>42</v>
      </c>
      <c r="I730" s="3">
        <v>2872.72</v>
      </c>
      <c r="J730" s="4">
        <v>50</v>
      </c>
      <c r="K730" t="s">
        <v>21</v>
      </c>
      <c r="L730" t="str" cm="1">
        <f t="array" ref="L730">_xlfn.IFS(C730&lt;18,"under 18",C730&lt;36,"btw 18 &amp; 35",C730&lt;51,"btw 36 &amp;50",C730&lt;66,"btw 51 &amp; 66",C730&gt;66,"66 &amp; above")</f>
        <v>66 &amp; above</v>
      </c>
      <c r="M730">
        <f t="shared" si="12"/>
        <v>3</v>
      </c>
    </row>
    <row r="731" spans="1:13" x14ac:dyDescent="0.25">
      <c r="A731" t="s">
        <v>1344</v>
      </c>
      <c r="B731" t="s">
        <v>1345</v>
      </c>
      <c r="C731">
        <v>49</v>
      </c>
      <c r="D731" t="s">
        <v>13</v>
      </c>
      <c r="E731" s="2">
        <v>45608</v>
      </c>
      <c r="F731" s="2">
        <v>45616</v>
      </c>
      <c r="G731" t="s">
        <v>61</v>
      </c>
      <c r="H731" t="s">
        <v>62</v>
      </c>
      <c r="I731" s="3">
        <v>8897.51</v>
      </c>
      <c r="J731" s="4">
        <v>80</v>
      </c>
      <c r="K731" t="s">
        <v>16</v>
      </c>
      <c r="L731" t="str" cm="1">
        <f t="array" ref="L731">_xlfn.IFS(C731&lt;18,"under 18",C731&lt;36,"btw 18 &amp; 35",C731&lt;51,"btw 36 &amp;50",C731&lt;66,"btw 51 &amp; 66",C731&gt;66,"66 &amp; above")</f>
        <v>btw 36 &amp;50</v>
      </c>
      <c r="M731">
        <f t="shared" si="12"/>
        <v>8</v>
      </c>
    </row>
    <row r="732" spans="1:13" x14ac:dyDescent="0.25">
      <c r="A732" t="s">
        <v>1346</v>
      </c>
      <c r="B732" t="s">
        <v>763</v>
      </c>
      <c r="C732">
        <v>10</v>
      </c>
      <c r="D732" t="s">
        <v>19</v>
      </c>
      <c r="E732" s="2">
        <v>45407</v>
      </c>
      <c r="F732" s="2">
        <v>45410</v>
      </c>
      <c r="G732" t="s">
        <v>50</v>
      </c>
      <c r="H732" t="s">
        <v>124</v>
      </c>
      <c r="I732" s="3">
        <v>3469.08</v>
      </c>
      <c r="J732" s="4">
        <v>80</v>
      </c>
      <c r="K732" t="s">
        <v>16</v>
      </c>
      <c r="L732" t="str" cm="1">
        <f t="array" ref="L732">_xlfn.IFS(C732&lt;18,"under 18",C732&lt;36,"btw 18 &amp; 35",C732&lt;51,"btw 36 &amp;50",C732&lt;66,"btw 51 &amp; 66",C732&gt;66,"66 &amp; above")</f>
        <v>under 18</v>
      </c>
      <c r="M732">
        <f t="shared" si="12"/>
        <v>3</v>
      </c>
    </row>
    <row r="733" spans="1:13" x14ac:dyDescent="0.25">
      <c r="A733" t="s">
        <v>1347</v>
      </c>
      <c r="B733" t="s">
        <v>1348</v>
      </c>
      <c r="C733">
        <v>47</v>
      </c>
      <c r="D733" t="s">
        <v>13</v>
      </c>
      <c r="E733" s="2">
        <v>45300</v>
      </c>
      <c r="F733" s="2">
        <v>45306</v>
      </c>
      <c r="G733" t="s">
        <v>14</v>
      </c>
      <c r="H733" t="s">
        <v>20</v>
      </c>
      <c r="I733" s="3">
        <v>8778.52</v>
      </c>
      <c r="J733" s="4">
        <v>80</v>
      </c>
      <c r="K733" t="s">
        <v>21</v>
      </c>
      <c r="L733" t="str" cm="1">
        <f t="array" ref="L733">_xlfn.IFS(C733&lt;18,"under 18",C733&lt;36,"btw 18 &amp; 35",C733&lt;51,"btw 36 &amp;50",C733&lt;66,"btw 51 &amp; 66",C733&gt;66,"66 &amp; above")</f>
        <v>btw 36 &amp;50</v>
      </c>
      <c r="M733">
        <f t="shared" si="12"/>
        <v>6</v>
      </c>
    </row>
    <row r="734" spans="1:13" x14ac:dyDescent="0.25">
      <c r="A734" t="s">
        <v>1349</v>
      </c>
      <c r="B734" t="s">
        <v>648</v>
      </c>
      <c r="C734">
        <v>66</v>
      </c>
      <c r="D734" t="s">
        <v>13</v>
      </c>
      <c r="E734" s="2">
        <v>45449</v>
      </c>
      <c r="F734" s="2">
        <v>45463</v>
      </c>
      <c r="G734" t="s">
        <v>61</v>
      </c>
      <c r="H734" t="s">
        <v>134</v>
      </c>
      <c r="I734" s="3">
        <v>38501.9</v>
      </c>
      <c r="J734" s="4">
        <v>80</v>
      </c>
      <c r="K734" t="s">
        <v>16</v>
      </c>
      <c r="L734" t="e" cm="1">
        <f t="array" ref="L734">_xlfn.IFS(C734&lt;18,"under 18",C734&lt;36,"btw 18 &amp; 35",C734&lt;51,"btw 36 &amp;50",C734&lt;66,"btw 51 &amp; 66",C734&gt;66,"66 &amp; above")</f>
        <v>#N/A</v>
      </c>
      <c r="M734">
        <f t="shared" si="12"/>
        <v>14</v>
      </c>
    </row>
    <row r="735" spans="1:13" x14ac:dyDescent="0.25">
      <c r="A735" t="s">
        <v>1350</v>
      </c>
      <c r="B735" t="s">
        <v>353</v>
      </c>
      <c r="C735">
        <v>43</v>
      </c>
      <c r="D735" t="s">
        <v>13</v>
      </c>
      <c r="E735" s="2">
        <v>46016</v>
      </c>
      <c r="F735" s="2">
        <v>46018</v>
      </c>
      <c r="G735" t="s">
        <v>32</v>
      </c>
      <c r="H735" t="s">
        <v>235</v>
      </c>
      <c r="I735" s="3">
        <v>1693.89</v>
      </c>
      <c r="J735" s="4">
        <v>80</v>
      </c>
      <c r="K735" t="s">
        <v>16</v>
      </c>
      <c r="L735" t="str" cm="1">
        <f t="array" ref="L735">_xlfn.IFS(C735&lt;18,"under 18",C735&lt;36,"btw 18 &amp; 35",C735&lt;51,"btw 36 &amp;50",C735&lt;66,"btw 51 &amp; 66",C735&gt;66,"66 &amp; above")</f>
        <v>btw 36 &amp;50</v>
      </c>
      <c r="M735">
        <f t="shared" si="12"/>
        <v>2</v>
      </c>
    </row>
    <row r="736" spans="1:13" x14ac:dyDescent="0.25">
      <c r="A736" t="s">
        <v>1351</v>
      </c>
      <c r="B736" t="s">
        <v>1352</v>
      </c>
      <c r="C736">
        <v>29</v>
      </c>
      <c r="D736" t="s">
        <v>13</v>
      </c>
      <c r="E736" s="2">
        <v>45440</v>
      </c>
      <c r="F736" s="2">
        <v>45441</v>
      </c>
      <c r="G736" t="s">
        <v>24</v>
      </c>
      <c r="H736" t="s">
        <v>83</v>
      </c>
      <c r="I736" s="3">
        <v>1250.03</v>
      </c>
      <c r="J736" s="4">
        <v>80</v>
      </c>
      <c r="K736" t="s">
        <v>16</v>
      </c>
      <c r="L736" t="str" cm="1">
        <f t="array" ref="L736">_xlfn.IFS(C736&lt;18,"under 18",C736&lt;36,"btw 18 &amp; 35",C736&lt;51,"btw 36 &amp;50",C736&lt;66,"btw 51 &amp; 66",C736&gt;66,"66 &amp; above")</f>
        <v>btw 18 &amp; 35</v>
      </c>
      <c r="M736">
        <f t="shared" si="12"/>
        <v>1</v>
      </c>
    </row>
    <row r="737" spans="1:13" x14ac:dyDescent="0.25">
      <c r="A737" t="s">
        <v>1353</v>
      </c>
      <c r="B737" t="s">
        <v>128</v>
      </c>
      <c r="C737">
        <v>76</v>
      </c>
      <c r="D737" t="s">
        <v>19</v>
      </c>
      <c r="E737" s="2">
        <v>45577</v>
      </c>
      <c r="F737" s="2">
        <v>45578</v>
      </c>
      <c r="G737" t="s">
        <v>24</v>
      </c>
      <c r="H737" t="s">
        <v>222</v>
      </c>
      <c r="I737" s="3">
        <v>2286.5500000000002</v>
      </c>
      <c r="J737" s="4">
        <v>90</v>
      </c>
      <c r="K737" t="s">
        <v>26</v>
      </c>
      <c r="L737" t="str" cm="1">
        <f t="array" ref="L737">_xlfn.IFS(C737&lt;18,"under 18",C737&lt;36,"btw 18 &amp; 35",C737&lt;51,"btw 36 &amp;50",C737&lt;66,"btw 51 &amp; 66",C737&gt;66,"66 &amp; above")</f>
        <v>66 &amp; above</v>
      </c>
      <c r="M737">
        <f t="shared" si="12"/>
        <v>1</v>
      </c>
    </row>
    <row r="738" spans="1:13" x14ac:dyDescent="0.25">
      <c r="A738" t="s">
        <v>1354</v>
      </c>
      <c r="B738" t="s">
        <v>397</v>
      </c>
      <c r="C738">
        <v>70</v>
      </c>
      <c r="D738" t="s">
        <v>13</v>
      </c>
      <c r="E738" s="2">
        <v>45504</v>
      </c>
      <c r="F738" s="2">
        <v>45505</v>
      </c>
      <c r="G738" t="s">
        <v>24</v>
      </c>
      <c r="H738" t="s">
        <v>222</v>
      </c>
      <c r="I738" s="3">
        <v>1516.2</v>
      </c>
      <c r="J738" s="4">
        <v>80</v>
      </c>
      <c r="K738" t="s">
        <v>16</v>
      </c>
      <c r="L738" t="str" cm="1">
        <f t="array" ref="L738">_xlfn.IFS(C738&lt;18,"under 18",C738&lt;36,"btw 18 &amp; 35",C738&lt;51,"btw 36 &amp;50",C738&lt;66,"btw 51 &amp; 66",C738&gt;66,"66 &amp; above")</f>
        <v>66 &amp; above</v>
      </c>
      <c r="M738">
        <f t="shared" si="12"/>
        <v>1</v>
      </c>
    </row>
    <row r="739" spans="1:13" x14ac:dyDescent="0.25">
      <c r="A739" t="s">
        <v>1355</v>
      </c>
      <c r="B739" t="s">
        <v>1356</v>
      </c>
      <c r="C739">
        <v>79</v>
      </c>
      <c r="D739" t="s">
        <v>19</v>
      </c>
      <c r="E739" s="2">
        <v>45659</v>
      </c>
      <c r="F739" s="2">
        <v>45669</v>
      </c>
      <c r="G739" t="s">
        <v>14</v>
      </c>
      <c r="H739" t="s">
        <v>15</v>
      </c>
      <c r="I739" s="3">
        <v>24161.06</v>
      </c>
      <c r="J739" s="4">
        <v>100</v>
      </c>
      <c r="K739" t="s">
        <v>16</v>
      </c>
      <c r="L739" t="str" cm="1">
        <f t="array" ref="L739">_xlfn.IFS(C739&lt;18,"under 18",C739&lt;36,"btw 18 &amp; 35",C739&lt;51,"btw 36 &amp;50",C739&lt;66,"btw 51 &amp; 66",C739&gt;66,"66 &amp; above")</f>
        <v>66 &amp; above</v>
      </c>
      <c r="M739">
        <f t="shared" si="12"/>
        <v>10</v>
      </c>
    </row>
    <row r="740" spans="1:13" x14ac:dyDescent="0.25">
      <c r="A740" t="s">
        <v>1357</v>
      </c>
      <c r="B740" t="s">
        <v>1358</v>
      </c>
      <c r="C740">
        <v>76</v>
      </c>
      <c r="D740" t="s">
        <v>19</v>
      </c>
      <c r="E740" s="2">
        <v>45650</v>
      </c>
      <c r="F740" s="2">
        <v>45653</v>
      </c>
      <c r="G740" t="s">
        <v>24</v>
      </c>
      <c r="H740" t="s">
        <v>42</v>
      </c>
      <c r="I740" s="3">
        <v>5162.18</v>
      </c>
      <c r="J740" s="4">
        <v>90</v>
      </c>
      <c r="K740" t="s">
        <v>26</v>
      </c>
      <c r="L740" t="str" cm="1">
        <f t="array" ref="L740">_xlfn.IFS(C740&lt;18,"under 18",C740&lt;36,"btw 18 &amp; 35",C740&lt;51,"btw 36 &amp;50",C740&lt;66,"btw 51 &amp; 66",C740&gt;66,"66 &amp; above")</f>
        <v>66 &amp; above</v>
      </c>
      <c r="M740">
        <f t="shared" si="12"/>
        <v>3</v>
      </c>
    </row>
    <row r="741" spans="1:13" x14ac:dyDescent="0.25">
      <c r="A741" t="s">
        <v>1359</v>
      </c>
      <c r="B741" t="s">
        <v>603</v>
      </c>
      <c r="C741">
        <v>27</v>
      </c>
      <c r="D741" t="s">
        <v>13</v>
      </c>
      <c r="E741" s="2">
        <v>45724</v>
      </c>
      <c r="F741" s="2">
        <v>45737</v>
      </c>
      <c r="G741" t="s">
        <v>61</v>
      </c>
      <c r="H741" t="s">
        <v>134</v>
      </c>
      <c r="I741" s="3">
        <v>22371.56</v>
      </c>
      <c r="J741" s="4">
        <v>80</v>
      </c>
      <c r="K741" t="s">
        <v>16</v>
      </c>
      <c r="L741" t="str" cm="1">
        <f t="array" ref="L741">_xlfn.IFS(C741&lt;18,"under 18",C741&lt;36,"btw 18 &amp; 35",C741&lt;51,"btw 36 &amp;50",C741&lt;66,"btw 51 &amp; 66",C741&gt;66,"66 &amp; above")</f>
        <v>btw 18 &amp; 35</v>
      </c>
      <c r="M741">
        <f t="shared" si="12"/>
        <v>13</v>
      </c>
    </row>
    <row r="742" spans="1:13" x14ac:dyDescent="0.25">
      <c r="A742" t="s">
        <v>1360</v>
      </c>
      <c r="B742" t="s">
        <v>528</v>
      </c>
      <c r="C742">
        <v>82</v>
      </c>
      <c r="D742" t="s">
        <v>19</v>
      </c>
      <c r="E742" s="2">
        <v>45592</v>
      </c>
      <c r="F742" s="2">
        <v>45593</v>
      </c>
      <c r="G742" t="s">
        <v>24</v>
      </c>
      <c r="H742" t="s">
        <v>83</v>
      </c>
      <c r="I742" s="3">
        <v>1865.06</v>
      </c>
      <c r="J742" s="4">
        <v>80</v>
      </c>
      <c r="K742" t="s">
        <v>16</v>
      </c>
      <c r="L742" t="str" cm="1">
        <f t="array" ref="L742">_xlfn.IFS(C742&lt;18,"under 18",C742&lt;36,"btw 18 &amp; 35",C742&lt;51,"btw 36 &amp;50",C742&lt;66,"btw 51 &amp; 66",C742&gt;66,"66 &amp; above")</f>
        <v>66 &amp; above</v>
      </c>
      <c r="M742">
        <f t="shared" si="12"/>
        <v>1</v>
      </c>
    </row>
    <row r="743" spans="1:13" x14ac:dyDescent="0.25">
      <c r="A743" t="s">
        <v>1361</v>
      </c>
      <c r="B743" t="s">
        <v>1362</v>
      </c>
      <c r="C743">
        <v>71</v>
      </c>
      <c r="D743" t="s">
        <v>13</v>
      </c>
      <c r="E743" s="2">
        <v>45558</v>
      </c>
      <c r="F743" s="2">
        <v>45561</v>
      </c>
      <c r="G743" t="s">
        <v>14</v>
      </c>
      <c r="H743" t="s">
        <v>166</v>
      </c>
      <c r="I743" s="3">
        <v>7640.58</v>
      </c>
      <c r="J743" s="4">
        <v>80</v>
      </c>
      <c r="K743" t="s">
        <v>26</v>
      </c>
      <c r="L743" t="str" cm="1">
        <f t="array" ref="L743">_xlfn.IFS(C743&lt;18,"under 18",C743&lt;36,"btw 18 &amp; 35",C743&lt;51,"btw 36 &amp;50",C743&lt;66,"btw 51 &amp; 66",C743&gt;66,"66 &amp; above")</f>
        <v>66 &amp; above</v>
      </c>
      <c r="M743">
        <f t="shared" si="12"/>
        <v>3</v>
      </c>
    </row>
    <row r="744" spans="1:13" x14ac:dyDescent="0.25">
      <c r="A744" t="s">
        <v>1363</v>
      </c>
      <c r="B744" t="s">
        <v>329</v>
      </c>
      <c r="C744">
        <v>69</v>
      </c>
      <c r="D744" t="s">
        <v>19</v>
      </c>
      <c r="E744" s="2">
        <v>45688</v>
      </c>
      <c r="F744" s="2">
        <v>45690</v>
      </c>
      <c r="G744" t="s">
        <v>32</v>
      </c>
      <c r="H744" t="s">
        <v>36</v>
      </c>
      <c r="I744" s="3">
        <v>2892.4</v>
      </c>
      <c r="J744" s="4">
        <v>50</v>
      </c>
      <c r="K744" t="s">
        <v>16</v>
      </c>
      <c r="L744" t="str" cm="1">
        <f t="array" ref="L744">_xlfn.IFS(C744&lt;18,"under 18",C744&lt;36,"btw 18 &amp; 35",C744&lt;51,"btw 36 &amp;50",C744&lt;66,"btw 51 &amp; 66",C744&gt;66,"66 &amp; above")</f>
        <v>66 &amp; above</v>
      </c>
      <c r="M744">
        <f t="shared" si="12"/>
        <v>2</v>
      </c>
    </row>
    <row r="745" spans="1:13" x14ac:dyDescent="0.25">
      <c r="A745" t="s">
        <v>1364</v>
      </c>
      <c r="B745" t="s">
        <v>370</v>
      </c>
      <c r="C745">
        <v>32</v>
      </c>
      <c r="D745" t="s">
        <v>13</v>
      </c>
      <c r="E745" s="2">
        <v>45650</v>
      </c>
      <c r="F745" s="2">
        <v>45657</v>
      </c>
      <c r="G745" t="s">
        <v>71</v>
      </c>
      <c r="H745" t="s">
        <v>72</v>
      </c>
      <c r="I745" s="3">
        <v>9495.5300000000007</v>
      </c>
      <c r="J745" s="4">
        <v>100</v>
      </c>
      <c r="K745" t="s">
        <v>21</v>
      </c>
      <c r="L745" t="str" cm="1">
        <f t="array" ref="L745">_xlfn.IFS(C745&lt;18,"under 18",C745&lt;36,"btw 18 &amp; 35",C745&lt;51,"btw 36 &amp;50",C745&lt;66,"btw 51 &amp; 66",C745&gt;66,"66 &amp; above")</f>
        <v>btw 18 &amp; 35</v>
      </c>
      <c r="M745">
        <f t="shared" si="12"/>
        <v>7</v>
      </c>
    </row>
    <row r="746" spans="1:13" x14ac:dyDescent="0.25">
      <c r="A746" t="s">
        <v>1365</v>
      </c>
      <c r="B746" t="s">
        <v>551</v>
      </c>
      <c r="C746">
        <v>29</v>
      </c>
      <c r="D746" t="s">
        <v>19</v>
      </c>
      <c r="E746" s="2">
        <v>45559</v>
      </c>
      <c r="F746" s="2">
        <v>45560</v>
      </c>
      <c r="G746" t="s">
        <v>24</v>
      </c>
      <c r="H746" t="s">
        <v>29</v>
      </c>
      <c r="I746" s="3">
        <v>870.1</v>
      </c>
      <c r="J746" s="4">
        <v>80</v>
      </c>
      <c r="K746" t="s">
        <v>16</v>
      </c>
      <c r="L746" t="str" cm="1">
        <f t="array" ref="L746">_xlfn.IFS(C746&lt;18,"under 18",C746&lt;36,"btw 18 &amp; 35",C746&lt;51,"btw 36 &amp;50",C746&lt;66,"btw 51 &amp; 66",C746&gt;66,"66 &amp; above")</f>
        <v>btw 18 &amp; 35</v>
      </c>
      <c r="M746">
        <f t="shared" si="12"/>
        <v>1</v>
      </c>
    </row>
    <row r="747" spans="1:13" x14ac:dyDescent="0.25">
      <c r="A747" t="s">
        <v>1366</v>
      </c>
      <c r="B747" t="s">
        <v>301</v>
      </c>
      <c r="C747">
        <v>76</v>
      </c>
      <c r="D747" t="s">
        <v>19</v>
      </c>
      <c r="E747" s="2">
        <v>45306</v>
      </c>
      <c r="F747" s="2">
        <v>45307</v>
      </c>
      <c r="G747" t="s">
        <v>32</v>
      </c>
      <c r="H747" t="s">
        <v>33</v>
      </c>
      <c r="I747" s="3">
        <v>1437.06</v>
      </c>
      <c r="J747" s="4">
        <v>70</v>
      </c>
      <c r="K747" t="s">
        <v>21</v>
      </c>
      <c r="L747" t="str" cm="1">
        <f t="array" ref="L747">_xlfn.IFS(C747&lt;18,"under 18",C747&lt;36,"btw 18 &amp; 35",C747&lt;51,"btw 36 &amp;50",C747&lt;66,"btw 51 &amp; 66",C747&gt;66,"66 &amp; above")</f>
        <v>66 &amp; above</v>
      </c>
      <c r="M747">
        <f t="shared" si="12"/>
        <v>1</v>
      </c>
    </row>
    <row r="748" spans="1:13" x14ac:dyDescent="0.25">
      <c r="A748" t="s">
        <v>1367</v>
      </c>
      <c r="B748" t="s">
        <v>503</v>
      </c>
      <c r="C748">
        <v>53</v>
      </c>
      <c r="D748" t="s">
        <v>19</v>
      </c>
      <c r="E748" s="2">
        <v>45519</v>
      </c>
      <c r="F748" s="2">
        <v>45524</v>
      </c>
      <c r="G748" t="s">
        <v>32</v>
      </c>
      <c r="H748" t="s">
        <v>54</v>
      </c>
      <c r="I748" s="3">
        <v>2735.83</v>
      </c>
      <c r="J748" s="4">
        <v>90</v>
      </c>
      <c r="K748" t="s">
        <v>21</v>
      </c>
      <c r="L748" t="str" cm="1">
        <f t="array" ref="L748">_xlfn.IFS(C748&lt;18,"under 18",C748&lt;36,"btw 18 &amp; 35",C748&lt;51,"btw 36 &amp;50",C748&lt;66,"btw 51 &amp; 66",C748&gt;66,"66 &amp; above")</f>
        <v>btw 51 &amp; 66</v>
      </c>
      <c r="M748">
        <f t="shared" si="12"/>
        <v>5</v>
      </c>
    </row>
    <row r="749" spans="1:13" x14ac:dyDescent="0.25">
      <c r="A749" t="s">
        <v>1368</v>
      </c>
      <c r="B749" t="s">
        <v>178</v>
      </c>
      <c r="C749">
        <v>27</v>
      </c>
      <c r="D749" t="s">
        <v>13</v>
      </c>
      <c r="E749" s="2">
        <v>45628</v>
      </c>
      <c r="F749" s="2">
        <v>45629</v>
      </c>
      <c r="G749" t="s">
        <v>24</v>
      </c>
      <c r="H749" t="s">
        <v>25</v>
      </c>
      <c r="I749" s="3">
        <v>1879.03</v>
      </c>
      <c r="J749" s="4">
        <v>100</v>
      </c>
      <c r="K749" t="s">
        <v>16</v>
      </c>
      <c r="L749" t="str" cm="1">
        <f t="array" ref="L749">_xlfn.IFS(C749&lt;18,"under 18",C749&lt;36,"btw 18 &amp; 35",C749&lt;51,"btw 36 &amp;50",C749&lt;66,"btw 51 &amp; 66",C749&gt;66,"66 &amp; above")</f>
        <v>btw 18 &amp; 35</v>
      </c>
      <c r="M749">
        <f t="shared" si="12"/>
        <v>1</v>
      </c>
    </row>
    <row r="750" spans="1:13" x14ac:dyDescent="0.25">
      <c r="A750" t="s">
        <v>1369</v>
      </c>
      <c r="B750" t="s">
        <v>722</v>
      </c>
      <c r="C750">
        <v>11</v>
      </c>
      <c r="D750" t="s">
        <v>19</v>
      </c>
      <c r="E750" s="2">
        <v>45482</v>
      </c>
      <c r="F750" s="2">
        <v>45486</v>
      </c>
      <c r="G750" t="s">
        <v>50</v>
      </c>
      <c r="H750" t="s">
        <v>131</v>
      </c>
      <c r="I750" s="3">
        <v>4685.1499999999996</v>
      </c>
      <c r="J750" s="4">
        <v>70</v>
      </c>
      <c r="K750" t="s">
        <v>26</v>
      </c>
      <c r="L750" t="str" cm="1">
        <f t="array" ref="L750">_xlfn.IFS(C750&lt;18,"under 18",C750&lt;36,"btw 18 &amp; 35",C750&lt;51,"btw 36 &amp;50",C750&lt;66,"btw 51 &amp; 66",C750&gt;66,"66 &amp; above")</f>
        <v>under 18</v>
      </c>
      <c r="M750">
        <f t="shared" si="12"/>
        <v>4</v>
      </c>
    </row>
    <row r="751" spans="1:13" x14ac:dyDescent="0.25">
      <c r="A751" t="s">
        <v>1370</v>
      </c>
      <c r="B751" t="s">
        <v>370</v>
      </c>
      <c r="C751">
        <v>30</v>
      </c>
      <c r="D751" t="s">
        <v>13</v>
      </c>
      <c r="E751" s="2">
        <v>45987</v>
      </c>
      <c r="F751" s="2">
        <v>45989</v>
      </c>
      <c r="G751" t="s">
        <v>24</v>
      </c>
      <c r="H751" t="s">
        <v>42</v>
      </c>
      <c r="I751" s="3">
        <v>4638.3500000000004</v>
      </c>
      <c r="J751" s="4">
        <v>90</v>
      </c>
      <c r="K751" t="s">
        <v>26</v>
      </c>
      <c r="L751" t="str" cm="1">
        <f t="array" ref="L751">_xlfn.IFS(C751&lt;18,"under 18",C751&lt;36,"btw 18 &amp; 35",C751&lt;51,"btw 36 &amp;50",C751&lt;66,"btw 51 &amp; 66",C751&gt;66,"66 &amp; above")</f>
        <v>btw 18 &amp; 35</v>
      </c>
      <c r="M751">
        <f t="shared" si="12"/>
        <v>2</v>
      </c>
    </row>
    <row r="752" spans="1:13" x14ac:dyDescent="0.25">
      <c r="A752" t="s">
        <v>1371</v>
      </c>
      <c r="B752" t="s">
        <v>18</v>
      </c>
      <c r="C752">
        <v>35</v>
      </c>
      <c r="D752" t="s">
        <v>19</v>
      </c>
      <c r="E752" s="2">
        <v>45454</v>
      </c>
      <c r="F752" s="2">
        <v>45457</v>
      </c>
      <c r="G752" t="s">
        <v>24</v>
      </c>
      <c r="H752" t="s">
        <v>334</v>
      </c>
      <c r="I752" s="3">
        <v>6181.48</v>
      </c>
      <c r="J752" s="4">
        <v>90</v>
      </c>
      <c r="K752" t="s">
        <v>16</v>
      </c>
      <c r="L752" t="str" cm="1">
        <f t="array" ref="L752">_xlfn.IFS(C752&lt;18,"under 18",C752&lt;36,"btw 18 &amp; 35",C752&lt;51,"btw 36 &amp;50",C752&lt;66,"btw 51 &amp; 66",C752&gt;66,"66 &amp; above")</f>
        <v>btw 18 &amp; 35</v>
      </c>
      <c r="M752">
        <f t="shared" si="12"/>
        <v>3</v>
      </c>
    </row>
    <row r="753" spans="1:13" x14ac:dyDescent="0.25">
      <c r="A753" t="s">
        <v>1372</v>
      </c>
      <c r="B753" t="s">
        <v>157</v>
      </c>
      <c r="C753">
        <v>66</v>
      </c>
      <c r="D753" t="s">
        <v>19</v>
      </c>
      <c r="E753" s="2">
        <v>45993</v>
      </c>
      <c r="F753" s="2">
        <v>45999</v>
      </c>
      <c r="G753" t="s">
        <v>71</v>
      </c>
      <c r="H753" t="s">
        <v>238</v>
      </c>
      <c r="I753" s="3">
        <v>10893.55</v>
      </c>
      <c r="J753" s="4">
        <v>80</v>
      </c>
      <c r="K753" t="s">
        <v>16</v>
      </c>
      <c r="L753" t="e" cm="1">
        <f t="array" ref="L753">_xlfn.IFS(C753&lt;18,"under 18",C753&lt;36,"btw 18 &amp; 35",C753&lt;51,"btw 36 &amp;50",C753&lt;66,"btw 51 &amp; 66",C753&gt;66,"66 &amp; above")</f>
        <v>#N/A</v>
      </c>
      <c r="M753">
        <f t="shared" si="12"/>
        <v>6</v>
      </c>
    </row>
    <row r="754" spans="1:13" x14ac:dyDescent="0.25">
      <c r="A754" t="s">
        <v>1373</v>
      </c>
      <c r="B754" t="s">
        <v>747</v>
      </c>
      <c r="C754">
        <v>70</v>
      </c>
      <c r="D754" t="s">
        <v>13</v>
      </c>
      <c r="E754" s="2">
        <v>45481</v>
      </c>
      <c r="F754" s="2">
        <v>45485</v>
      </c>
      <c r="G754" t="s">
        <v>32</v>
      </c>
      <c r="H754" t="s">
        <v>45</v>
      </c>
      <c r="I754" s="3">
        <v>5559.19</v>
      </c>
      <c r="J754" s="4">
        <v>100</v>
      </c>
      <c r="K754" t="s">
        <v>16</v>
      </c>
      <c r="L754" t="str" cm="1">
        <f t="array" ref="L754">_xlfn.IFS(C754&lt;18,"under 18",C754&lt;36,"btw 18 &amp; 35",C754&lt;51,"btw 36 &amp;50",C754&lt;66,"btw 51 &amp; 66",C754&gt;66,"66 &amp; above")</f>
        <v>66 &amp; above</v>
      </c>
      <c r="M754">
        <f t="shared" si="12"/>
        <v>4</v>
      </c>
    </row>
    <row r="755" spans="1:13" x14ac:dyDescent="0.25">
      <c r="A755" t="s">
        <v>1374</v>
      </c>
      <c r="B755" t="s">
        <v>1375</v>
      </c>
      <c r="C755">
        <v>82</v>
      </c>
      <c r="D755" t="s">
        <v>19</v>
      </c>
      <c r="E755" s="2">
        <v>45867</v>
      </c>
      <c r="F755" s="2">
        <v>45873</v>
      </c>
      <c r="G755" t="s">
        <v>14</v>
      </c>
      <c r="H755" t="s">
        <v>166</v>
      </c>
      <c r="I755" s="3">
        <v>12777.22</v>
      </c>
      <c r="J755" s="4">
        <v>90</v>
      </c>
      <c r="K755" t="s">
        <v>16</v>
      </c>
      <c r="L755" t="str" cm="1">
        <f t="array" ref="L755">_xlfn.IFS(C755&lt;18,"under 18",C755&lt;36,"btw 18 &amp; 35",C755&lt;51,"btw 36 &amp;50",C755&lt;66,"btw 51 &amp; 66",C755&gt;66,"66 &amp; above")</f>
        <v>66 &amp; above</v>
      </c>
      <c r="M755">
        <f t="shared" si="12"/>
        <v>6</v>
      </c>
    </row>
    <row r="756" spans="1:13" x14ac:dyDescent="0.25">
      <c r="A756" t="s">
        <v>1376</v>
      </c>
      <c r="B756" t="s">
        <v>1377</v>
      </c>
      <c r="C756">
        <v>28</v>
      </c>
      <c r="D756" t="s">
        <v>19</v>
      </c>
      <c r="E756" s="2">
        <v>45362</v>
      </c>
      <c r="F756" s="2">
        <v>45363</v>
      </c>
      <c r="G756" t="s">
        <v>24</v>
      </c>
      <c r="H756" t="s">
        <v>42</v>
      </c>
      <c r="I756" s="3">
        <v>824.72</v>
      </c>
      <c r="J756" s="4">
        <v>80</v>
      </c>
      <c r="K756" t="s">
        <v>16</v>
      </c>
      <c r="L756" t="str" cm="1">
        <f t="array" ref="L756">_xlfn.IFS(C756&lt;18,"under 18",C756&lt;36,"btw 18 &amp; 35",C756&lt;51,"btw 36 &amp;50",C756&lt;66,"btw 51 &amp; 66",C756&gt;66,"66 &amp; above")</f>
        <v>btw 18 &amp; 35</v>
      </c>
      <c r="M756">
        <f t="shared" si="12"/>
        <v>1</v>
      </c>
    </row>
    <row r="757" spans="1:13" x14ac:dyDescent="0.25">
      <c r="A757" t="s">
        <v>1378</v>
      </c>
      <c r="B757" t="s">
        <v>1012</v>
      </c>
      <c r="C757">
        <v>77</v>
      </c>
      <c r="D757" t="s">
        <v>13</v>
      </c>
      <c r="E757" s="2">
        <v>45744</v>
      </c>
      <c r="F757" s="2">
        <v>45748</v>
      </c>
      <c r="G757" t="s">
        <v>71</v>
      </c>
      <c r="H757" t="s">
        <v>195</v>
      </c>
      <c r="I757" s="3">
        <v>7892.83</v>
      </c>
      <c r="J757" s="4">
        <v>90</v>
      </c>
      <c r="K757" t="s">
        <v>16</v>
      </c>
      <c r="L757" t="str" cm="1">
        <f t="array" ref="L757">_xlfn.IFS(C757&lt;18,"under 18",C757&lt;36,"btw 18 &amp; 35",C757&lt;51,"btw 36 &amp;50",C757&lt;66,"btw 51 &amp; 66",C757&gt;66,"66 &amp; above")</f>
        <v>66 &amp; above</v>
      </c>
      <c r="M757">
        <f t="shared" si="12"/>
        <v>4</v>
      </c>
    </row>
    <row r="758" spans="1:13" x14ac:dyDescent="0.25">
      <c r="A758" t="s">
        <v>1379</v>
      </c>
      <c r="B758" t="s">
        <v>914</v>
      </c>
      <c r="C758">
        <v>34</v>
      </c>
      <c r="D758" t="s">
        <v>19</v>
      </c>
      <c r="E758" s="2">
        <v>45537</v>
      </c>
      <c r="F758" s="2">
        <v>45539</v>
      </c>
      <c r="G758" t="s">
        <v>24</v>
      </c>
      <c r="H758" t="s">
        <v>83</v>
      </c>
      <c r="I758" s="3">
        <v>4965.79</v>
      </c>
      <c r="J758" s="4">
        <v>80</v>
      </c>
      <c r="K758" t="s">
        <v>16</v>
      </c>
      <c r="L758" t="str" cm="1">
        <f t="array" ref="L758">_xlfn.IFS(C758&lt;18,"under 18",C758&lt;36,"btw 18 &amp; 35",C758&lt;51,"btw 36 &amp;50",C758&lt;66,"btw 51 &amp; 66",C758&gt;66,"66 &amp; above")</f>
        <v>btw 18 &amp; 35</v>
      </c>
      <c r="M758">
        <f t="shared" si="12"/>
        <v>2</v>
      </c>
    </row>
    <row r="759" spans="1:13" x14ac:dyDescent="0.25">
      <c r="A759" t="s">
        <v>1380</v>
      </c>
      <c r="B759" t="s">
        <v>1381</v>
      </c>
      <c r="C759">
        <v>8</v>
      </c>
      <c r="D759" t="s">
        <v>19</v>
      </c>
      <c r="E759" s="2">
        <v>45370</v>
      </c>
      <c r="F759" s="2">
        <v>45372</v>
      </c>
      <c r="G759" t="s">
        <v>50</v>
      </c>
      <c r="H759" t="s">
        <v>124</v>
      </c>
      <c r="I759" s="3">
        <v>1380.95</v>
      </c>
      <c r="J759" s="4">
        <v>70</v>
      </c>
      <c r="K759" t="s">
        <v>16</v>
      </c>
      <c r="L759" t="str" cm="1">
        <f t="array" ref="L759">_xlfn.IFS(C759&lt;18,"under 18",C759&lt;36,"btw 18 &amp; 35",C759&lt;51,"btw 36 &amp;50",C759&lt;66,"btw 51 &amp; 66",C759&gt;66,"66 &amp; above")</f>
        <v>under 18</v>
      </c>
      <c r="M759">
        <f t="shared" si="12"/>
        <v>2</v>
      </c>
    </row>
    <row r="760" spans="1:13" x14ac:dyDescent="0.25">
      <c r="A760" t="s">
        <v>1382</v>
      </c>
      <c r="B760" t="s">
        <v>1383</v>
      </c>
      <c r="C760">
        <v>41</v>
      </c>
      <c r="D760" t="s">
        <v>13</v>
      </c>
      <c r="E760" s="2">
        <v>45484</v>
      </c>
      <c r="F760" s="2">
        <v>45485</v>
      </c>
      <c r="G760" t="s">
        <v>32</v>
      </c>
      <c r="H760" t="s">
        <v>54</v>
      </c>
      <c r="I760" s="3">
        <v>783.53</v>
      </c>
      <c r="J760" s="4">
        <v>50</v>
      </c>
      <c r="K760" t="s">
        <v>16</v>
      </c>
      <c r="L760" t="str" cm="1">
        <f t="array" ref="L760">_xlfn.IFS(C760&lt;18,"under 18",C760&lt;36,"btw 18 &amp; 35",C760&lt;51,"btw 36 &amp;50",C760&lt;66,"btw 51 &amp; 66",C760&gt;66,"66 &amp; above")</f>
        <v>btw 36 &amp;50</v>
      </c>
      <c r="M760">
        <f t="shared" si="12"/>
        <v>1</v>
      </c>
    </row>
    <row r="761" spans="1:13" x14ac:dyDescent="0.25">
      <c r="A761" t="s">
        <v>1384</v>
      </c>
      <c r="B761" t="s">
        <v>687</v>
      </c>
      <c r="C761">
        <v>50</v>
      </c>
      <c r="D761" t="s">
        <v>13</v>
      </c>
      <c r="E761" s="2">
        <v>45702</v>
      </c>
      <c r="F761" s="2">
        <v>45703</v>
      </c>
      <c r="G761" t="s">
        <v>32</v>
      </c>
      <c r="H761" t="s">
        <v>36</v>
      </c>
      <c r="I761" s="3">
        <v>644.33000000000004</v>
      </c>
      <c r="J761" s="4">
        <v>50</v>
      </c>
      <c r="K761" t="s">
        <v>26</v>
      </c>
      <c r="L761" t="str" cm="1">
        <f t="array" ref="L761">_xlfn.IFS(C761&lt;18,"under 18",C761&lt;36,"btw 18 &amp; 35",C761&lt;51,"btw 36 &amp;50",C761&lt;66,"btw 51 &amp; 66",C761&gt;66,"66 &amp; above")</f>
        <v>btw 36 &amp;50</v>
      </c>
      <c r="M761">
        <f t="shared" si="12"/>
        <v>1</v>
      </c>
    </row>
    <row r="762" spans="1:13" x14ac:dyDescent="0.25">
      <c r="A762" t="s">
        <v>1385</v>
      </c>
      <c r="B762" t="s">
        <v>1386</v>
      </c>
      <c r="C762">
        <v>64</v>
      </c>
      <c r="D762" t="s">
        <v>13</v>
      </c>
      <c r="E762" s="2">
        <v>45986</v>
      </c>
      <c r="F762" s="2">
        <v>45987</v>
      </c>
      <c r="G762" t="s">
        <v>24</v>
      </c>
      <c r="H762" t="s">
        <v>25</v>
      </c>
      <c r="I762" s="3">
        <v>803.78</v>
      </c>
      <c r="J762" s="4">
        <v>90</v>
      </c>
      <c r="K762" t="s">
        <v>16</v>
      </c>
      <c r="L762" t="str" cm="1">
        <f t="array" ref="L762">_xlfn.IFS(C762&lt;18,"under 18",C762&lt;36,"btw 18 &amp; 35",C762&lt;51,"btw 36 &amp;50",C762&lt;66,"btw 51 &amp; 66",C762&gt;66,"66 &amp; above")</f>
        <v>btw 51 &amp; 66</v>
      </c>
      <c r="M762">
        <f t="shared" si="12"/>
        <v>1</v>
      </c>
    </row>
    <row r="763" spans="1:13" x14ac:dyDescent="0.25">
      <c r="A763" t="s">
        <v>1387</v>
      </c>
      <c r="B763" t="s">
        <v>1388</v>
      </c>
      <c r="C763">
        <v>32</v>
      </c>
      <c r="D763" t="s">
        <v>13</v>
      </c>
      <c r="E763" s="2">
        <v>45909</v>
      </c>
      <c r="F763" s="2">
        <v>45916</v>
      </c>
      <c r="G763" t="s">
        <v>32</v>
      </c>
      <c r="H763" t="s">
        <v>88</v>
      </c>
      <c r="I763" s="3">
        <v>7286.69</v>
      </c>
      <c r="J763" s="4">
        <v>80</v>
      </c>
      <c r="K763" t="s">
        <v>16</v>
      </c>
      <c r="L763" t="str" cm="1">
        <f t="array" ref="L763">_xlfn.IFS(C763&lt;18,"under 18",C763&lt;36,"btw 18 &amp; 35",C763&lt;51,"btw 36 &amp;50",C763&lt;66,"btw 51 &amp; 66",C763&gt;66,"66 &amp; above")</f>
        <v>btw 18 &amp; 35</v>
      </c>
      <c r="M763">
        <f t="shared" si="12"/>
        <v>7</v>
      </c>
    </row>
    <row r="764" spans="1:13" x14ac:dyDescent="0.25">
      <c r="A764" t="s">
        <v>1389</v>
      </c>
      <c r="B764" t="s">
        <v>1390</v>
      </c>
      <c r="C764">
        <v>47</v>
      </c>
      <c r="D764" t="s">
        <v>19</v>
      </c>
      <c r="E764" s="2">
        <v>45597</v>
      </c>
      <c r="F764" s="2">
        <v>45600</v>
      </c>
      <c r="G764" t="s">
        <v>24</v>
      </c>
      <c r="H764" t="s">
        <v>334</v>
      </c>
      <c r="I764" s="3">
        <v>6520.03</v>
      </c>
      <c r="J764" s="4">
        <v>80</v>
      </c>
      <c r="K764" t="s">
        <v>16</v>
      </c>
      <c r="L764" t="str" cm="1">
        <f t="array" ref="L764">_xlfn.IFS(C764&lt;18,"under 18",C764&lt;36,"btw 18 &amp; 35",C764&lt;51,"btw 36 &amp;50",C764&lt;66,"btw 51 &amp; 66",C764&gt;66,"66 &amp; above")</f>
        <v>btw 36 &amp;50</v>
      </c>
      <c r="M764">
        <f t="shared" si="12"/>
        <v>3</v>
      </c>
    </row>
    <row r="765" spans="1:13" x14ac:dyDescent="0.25">
      <c r="A765" t="s">
        <v>1391</v>
      </c>
      <c r="B765" t="s">
        <v>107</v>
      </c>
      <c r="C765">
        <v>46</v>
      </c>
      <c r="D765" t="s">
        <v>19</v>
      </c>
      <c r="E765" s="2">
        <v>45992</v>
      </c>
      <c r="F765" s="2">
        <v>45993</v>
      </c>
      <c r="G765" t="s">
        <v>32</v>
      </c>
      <c r="H765" t="s">
        <v>36</v>
      </c>
      <c r="I765" s="3">
        <v>1101.07</v>
      </c>
      <c r="J765" s="4">
        <v>70</v>
      </c>
      <c r="K765" t="s">
        <v>21</v>
      </c>
      <c r="L765" t="str" cm="1">
        <f t="array" ref="L765">_xlfn.IFS(C765&lt;18,"under 18",C765&lt;36,"btw 18 &amp; 35",C765&lt;51,"btw 36 &amp;50",C765&lt;66,"btw 51 &amp; 66",C765&gt;66,"66 &amp; above")</f>
        <v>btw 36 &amp;50</v>
      </c>
      <c r="M765">
        <f t="shared" si="12"/>
        <v>1</v>
      </c>
    </row>
    <row r="766" spans="1:13" x14ac:dyDescent="0.25">
      <c r="A766" t="s">
        <v>1392</v>
      </c>
      <c r="B766" t="s">
        <v>524</v>
      </c>
      <c r="C766">
        <v>48</v>
      </c>
      <c r="D766" t="s">
        <v>19</v>
      </c>
      <c r="E766" s="2">
        <v>45904</v>
      </c>
      <c r="F766" s="2">
        <v>45914</v>
      </c>
      <c r="G766" t="s">
        <v>14</v>
      </c>
      <c r="H766" t="s">
        <v>20</v>
      </c>
      <c r="I766" s="3">
        <v>15930.98</v>
      </c>
      <c r="J766" s="4">
        <v>80</v>
      </c>
      <c r="K766" t="s">
        <v>16</v>
      </c>
      <c r="L766" t="str" cm="1">
        <f t="array" ref="L766">_xlfn.IFS(C766&lt;18,"under 18",C766&lt;36,"btw 18 &amp; 35",C766&lt;51,"btw 36 &amp;50",C766&lt;66,"btw 51 &amp; 66",C766&gt;66,"66 &amp; above")</f>
        <v>btw 36 &amp;50</v>
      </c>
      <c r="M766">
        <f t="shared" si="12"/>
        <v>10</v>
      </c>
    </row>
    <row r="767" spans="1:13" x14ac:dyDescent="0.25">
      <c r="A767" t="s">
        <v>1393</v>
      </c>
      <c r="B767" t="s">
        <v>1394</v>
      </c>
      <c r="C767">
        <v>47</v>
      </c>
      <c r="D767" t="s">
        <v>13</v>
      </c>
      <c r="E767" s="2">
        <v>45557</v>
      </c>
      <c r="F767" s="2">
        <v>45564</v>
      </c>
      <c r="G767" t="s">
        <v>32</v>
      </c>
      <c r="H767" t="s">
        <v>115</v>
      </c>
      <c r="I767" s="3">
        <v>6394.95</v>
      </c>
      <c r="J767" s="4">
        <v>100</v>
      </c>
      <c r="K767" t="s">
        <v>26</v>
      </c>
      <c r="L767" t="str" cm="1">
        <f t="array" ref="L767">_xlfn.IFS(C767&lt;18,"under 18",C767&lt;36,"btw 18 &amp; 35",C767&lt;51,"btw 36 &amp;50",C767&lt;66,"btw 51 &amp; 66",C767&gt;66,"66 &amp; above")</f>
        <v>btw 36 &amp;50</v>
      </c>
      <c r="M767">
        <f t="shared" si="12"/>
        <v>7</v>
      </c>
    </row>
    <row r="768" spans="1:13" x14ac:dyDescent="0.25">
      <c r="A768" t="s">
        <v>1395</v>
      </c>
      <c r="B768" t="s">
        <v>142</v>
      </c>
      <c r="C768">
        <v>18</v>
      </c>
      <c r="D768" t="s">
        <v>13</v>
      </c>
      <c r="E768" s="2">
        <v>45292</v>
      </c>
      <c r="F768" s="2">
        <v>45294</v>
      </c>
      <c r="G768" t="s">
        <v>32</v>
      </c>
      <c r="H768" t="s">
        <v>45</v>
      </c>
      <c r="I768" s="3">
        <v>2803.03</v>
      </c>
      <c r="J768" s="4">
        <v>90</v>
      </c>
      <c r="K768" t="s">
        <v>16</v>
      </c>
      <c r="L768" t="str" cm="1">
        <f t="array" ref="L768">_xlfn.IFS(C768&lt;18,"under 18",C768&lt;36,"btw 18 &amp; 35",C768&lt;51,"btw 36 &amp;50",C768&lt;66,"btw 51 &amp; 66",C768&gt;66,"66 &amp; above")</f>
        <v>btw 18 &amp; 35</v>
      </c>
      <c r="M768">
        <f t="shared" si="12"/>
        <v>2</v>
      </c>
    </row>
    <row r="769" spans="1:13" x14ac:dyDescent="0.25">
      <c r="A769" t="s">
        <v>1396</v>
      </c>
      <c r="B769" t="s">
        <v>1027</v>
      </c>
      <c r="C769">
        <v>41</v>
      </c>
      <c r="D769" t="s">
        <v>13</v>
      </c>
      <c r="E769" s="2">
        <v>45316</v>
      </c>
      <c r="F769" s="2">
        <v>45319</v>
      </c>
      <c r="G769" t="s">
        <v>71</v>
      </c>
      <c r="H769" t="s">
        <v>72</v>
      </c>
      <c r="I769" s="3">
        <v>4689.5200000000004</v>
      </c>
      <c r="J769" s="4">
        <v>80</v>
      </c>
      <c r="K769" t="s">
        <v>16</v>
      </c>
      <c r="L769" t="str" cm="1">
        <f t="array" ref="L769">_xlfn.IFS(C769&lt;18,"under 18",C769&lt;36,"btw 18 &amp; 35",C769&lt;51,"btw 36 &amp;50",C769&lt;66,"btw 51 &amp; 66",C769&gt;66,"66 &amp; above")</f>
        <v>btw 36 &amp;50</v>
      </c>
      <c r="M769">
        <f t="shared" si="12"/>
        <v>3</v>
      </c>
    </row>
    <row r="770" spans="1:13" x14ac:dyDescent="0.25">
      <c r="A770" t="s">
        <v>1397</v>
      </c>
      <c r="B770" t="s">
        <v>1398</v>
      </c>
      <c r="C770">
        <v>67</v>
      </c>
      <c r="D770" t="s">
        <v>19</v>
      </c>
      <c r="E770" s="2">
        <v>45514</v>
      </c>
      <c r="F770" s="2">
        <v>45524</v>
      </c>
      <c r="G770" t="s">
        <v>71</v>
      </c>
      <c r="H770" t="s">
        <v>296</v>
      </c>
      <c r="I770" s="3">
        <v>13724.66</v>
      </c>
      <c r="J770" s="4">
        <v>80</v>
      </c>
      <c r="K770" t="s">
        <v>16</v>
      </c>
      <c r="L770" t="str" cm="1">
        <f t="array" ref="L770">_xlfn.IFS(C770&lt;18,"under 18",C770&lt;36,"btw 18 &amp; 35",C770&lt;51,"btw 36 &amp;50",C770&lt;66,"btw 51 &amp; 66",C770&gt;66,"66 &amp; above")</f>
        <v>66 &amp; above</v>
      </c>
      <c r="M770">
        <f t="shared" si="12"/>
        <v>10</v>
      </c>
    </row>
    <row r="771" spans="1:13" x14ac:dyDescent="0.25">
      <c r="A771" t="s">
        <v>1399</v>
      </c>
      <c r="B771" t="s">
        <v>1400</v>
      </c>
      <c r="C771">
        <v>74</v>
      </c>
      <c r="D771" t="s">
        <v>13</v>
      </c>
      <c r="E771" s="2">
        <v>45708</v>
      </c>
      <c r="F771" s="2">
        <v>45712</v>
      </c>
      <c r="G771" t="s">
        <v>14</v>
      </c>
      <c r="H771" t="s">
        <v>39</v>
      </c>
      <c r="I771" s="3">
        <v>9130.48</v>
      </c>
      <c r="J771" s="4">
        <v>60</v>
      </c>
      <c r="K771" t="s">
        <v>26</v>
      </c>
      <c r="L771" t="str" cm="1">
        <f t="array" ref="L771">_xlfn.IFS(C771&lt;18,"under 18",C771&lt;36,"btw 18 &amp; 35",C771&lt;51,"btw 36 &amp;50",C771&lt;66,"btw 51 &amp; 66",C771&gt;66,"66 &amp; above")</f>
        <v>66 &amp; above</v>
      </c>
      <c r="M771">
        <f t="shared" ref="M771:M834" si="13">AVERAGE(F771-E771)</f>
        <v>4</v>
      </c>
    </row>
    <row r="772" spans="1:13" x14ac:dyDescent="0.25">
      <c r="A772" t="s">
        <v>1401</v>
      </c>
      <c r="B772" t="s">
        <v>1207</v>
      </c>
      <c r="C772">
        <v>32</v>
      </c>
      <c r="D772" t="s">
        <v>19</v>
      </c>
      <c r="E772" s="2">
        <v>45402</v>
      </c>
      <c r="F772" s="2">
        <v>45403</v>
      </c>
      <c r="G772" t="s">
        <v>24</v>
      </c>
      <c r="H772" t="s">
        <v>334</v>
      </c>
      <c r="I772" s="3">
        <v>2383.8000000000002</v>
      </c>
      <c r="J772" s="4">
        <v>70</v>
      </c>
      <c r="K772" t="s">
        <v>16</v>
      </c>
      <c r="L772" t="str" cm="1">
        <f t="array" ref="L772">_xlfn.IFS(C772&lt;18,"under 18",C772&lt;36,"btw 18 &amp; 35",C772&lt;51,"btw 36 &amp;50",C772&lt;66,"btw 51 &amp; 66",C772&gt;66,"66 &amp; above")</f>
        <v>btw 18 &amp; 35</v>
      </c>
      <c r="M772">
        <f t="shared" si="13"/>
        <v>1</v>
      </c>
    </row>
    <row r="773" spans="1:13" x14ac:dyDescent="0.25">
      <c r="A773" t="s">
        <v>1402</v>
      </c>
      <c r="B773" t="s">
        <v>1403</v>
      </c>
      <c r="C773">
        <v>51</v>
      </c>
      <c r="D773" t="s">
        <v>19</v>
      </c>
      <c r="E773" s="2">
        <v>45297</v>
      </c>
      <c r="F773" s="2">
        <v>45300</v>
      </c>
      <c r="G773" t="s">
        <v>32</v>
      </c>
      <c r="H773" t="s">
        <v>115</v>
      </c>
      <c r="I773" s="3">
        <v>1901.75</v>
      </c>
      <c r="J773" s="4">
        <v>70</v>
      </c>
      <c r="K773" t="s">
        <v>21</v>
      </c>
      <c r="L773" t="str" cm="1">
        <f t="array" ref="L773">_xlfn.IFS(C773&lt;18,"under 18",C773&lt;36,"btw 18 &amp; 35",C773&lt;51,"btw 36 &amp;50",C773&lt;66,"btw 51 &amp; 66",C773&gt;66,"66 &amp; above")</f>
        <v>btw 51 &amp; 66</v>
      </c>
      <c r="M773">
        <f t="shared" si="13"/>
        <v>3</v>
      </c>
    </row>
    <row r="774" spans="1:13" x14ac:dyDescent="0.25">
      <c r="A774" t="s">
        <v>1404</v>
      </c>
      <c r="B774" t="s">
        <v>847</v>
      </c>
      <c r="C774">
        <v>55</v>
      </c>
      <c r="D774" t="s">
        <v>13</v>
      </c>
      <c r="E774" s="2">
        <v>45832</v>
      </c>
      <c r="F774" s="2">
        <v>45835</v>
      </c>
      <c r="G774" t="s">
        <v>24</v>
      </c>
      <c r="H774" t="s">
        <v>29</v>
      </c>
      <c r="I774" s="3">
        <v>5558.16</v>
      </c>
      <c r="J774" s="4">
        <v>60</v>
      </c>
      <c r="K774" t="s">
        <v>16</v>
      </c>
      <c r="L774" t="str" cm="1">
        <f t="array" ref="L774">_xlfn.IFS(C774&lt;18,"under 18",C774&lt;36,"btw 18 &amp; 35",C774&lt;51,"btw 36 &amp;50",C774&lt;66,"btw 51 &amp; 66",C774&gt;66,"66 &amp; above")</f>
        <v>btw 51 &amp; 66</v>
      </c>
      <c r="M774">
        <f t="shared" si="13"/>
        <v>3</v>
      </c>
    </row>
    <row r="775" spans="1:13" x14ac:dyDescent="0.25">
      <c r="A775" t="s">
        <v>1405</v>
      </c>
      <c r="B775" t="s">
        <v>1406</v>
      </c>
      <c r="C775">
        <v>34</v>
      </c>
      <c r="D775" t="s">
        <v>13</v>
      </c>
      <c r="E775" s="2">
        <v>45805</v>
      </c>
      <c r="F775" s="2">
        <v>45812</v>
      </c>
      <c r="G775" t="s">
        <v>32</v>
      </c>
      <c r="H775" t="s">
        <v>88</v>
      </c>
      <c r="I775" s="3">
        <v>4500.7</v>
      </c>
      <c r="J775" s="4">
        <v>90</v>
      </c>
      <c r="K775" t="s">
        <v>16</v>
      </c>
      <c r="L775" t="str" cm="1">
        <f t="array" ref="L775">_xlfn.IFS(C775&lt;18,"under 18",C775&lt;36,"btw 18 &amp; 35",C775&lt;51,"btw 36 &amp;50",C775&lt;66,"btw 51 &amp; 66",C775&gt;66,"66 &amp; above")</f>
        <v>btw 18 &amp; 35</v>
      </c>
      <c r="M775">
        <f t="shared" si="13"/>
        <v>7</v>
      </c>
    </row>
    <row r="776" spans="1:13" x14ac:dyDescent="0.25">
      <c r="A776" t="s">
        <v>1407</v>
      </c>
      <c r="B776" t="s">
        <v>1408</v>
      </c>
      <c r="C776">
        <v>81</v>
      </c>
      <c r="D776" t="s">
        <v>13</v>
      </c>
      <c r="E776" s="2">
        <v>45699</v>
      </c>
      <c r="F776" s="2">
        <v>45704</v>
      </c>
      <c r="G776" t="s">
        <v>14</v>
      </c>
      <c r="H776" t="s">
        <v>39</v>
      </c>
      <c r="I776" s="3">
        <v>9036.9</v>
      </c>
      <c r="J776" s="4">
        <v>50</v>
      </c>
      <c r="K776" t="s">
        <v>21</v>
      </c>
      <c r="L776" t="str" cm="1">
        <f t="array" ref="L776">_xlfn.IFS(C776&lt;18,"under 18",C776&lt;36,"btw 18 &amp; 35",C776&lt;51,"btw 36 &amp;50",C776&lt;66,"btw 51 &amp; 66",C776&gt;66,"66 &amp; above")</f>
        <v>66 &amp; above</v>
      </c>
      <c r="M776">
        <f t="shared" si="13"/>
        <v>5</v>
      </c>
    </row>
    <row r="777" spans="1:13" x14ac:dyDescent="0.25">
      <c r="A777" t="s">
        <v>1409</v>
      </c>
      <c r="B777" t="s">
        <v>1410</v>
      </c>
      <c r="C777">
        <v>83</v>
      </c>
      <c r="D777" t="s">
        <v>13</v>
      </c>
      <c r="E777" s="2">
        <v>45827</v>
      </c>
      <c r="F777" s="2">
        <v>45832</v>
      </c>
      <c r="G777" t="s">
        <v>32</v>
      </c>
      <c r="H777" t="s">
        <v>235</v>
      </c>
      <c r="I777" s="3">
        <v>4404.2299999999996</v>
      </c>
      <c r="J777" s="4">
        <v>50</v>
      </c>
      <c r="K777" t="s">
        <v>26</v>
      </c>
      <c r="L777" t="str" cm="1">
        <f t="array" ref="L777">_xlfn.IFS(C777&lt;18,"under 18",C777&lt;36,"btw 18 &amp; 35",C777&lt;51,"btw 36 &amp;50",C777&lt;66,"btw 51 &amp; 66",C777&gt;66,"66 &amp; above")</f>
        <v>66 &amp; above</v>
      </c>
      <c r="M777">
        <f t="shared" si="13"/>
        <v>5</v>
      </c>
    </row>
    <row r="778" spans="1:13" x14ac:dyDescent="0.25">
      <c r="A778" t="s">
        <v>1411</v>
      </c>
      <c r="B778" t="s">
        <v>1116</v>
      </c>
      <c r="C778">
        <v>51</v>
      </c>
      <c r="D778" t="s">
        <v>13</v>
      </c>
      <c r="E778" s="2">
        <v>45465</v>
      </c>
      <c r="F778" s="2">
        <v>45470</v>
      </c>
      <c r="G778" t="s">
        <v>32</v>
      </c>
      <c r="H778" t="s">
        <v>115</v>
      </c>
      <c r="I778" s="3">
        <v>4907.47</v>
      </c>
      <c r="J778" s="4">
        <v>80</v>
      </c>
      <c r="K778" t="s">
        <v>16</v>
      </c>
      <c r="L778" t="str" cm="1">
        <f t="array" ref="L778">_xlfn.IFS(C778&lt;18,"under 18",C778&lt;36,"btw 18 &amp; 35",C778&lt;51,"btw 36 &amp;50",C778&lt;66,"btw 51 &amp; 66",C778&gt;66,"66 &amp; above")</f>
        <v>btw 51 &amp; 66</v>
      </c>
      <c r="M778">
        <f t="shared" si="13"/>
        <v>5</v>
      </c>
    </row>
    <row r="779" spans="1:13" x14ac:dyDescent="0.25">
      <c r="A779" t="s">
        <v>1412</v>
      </c>
      <c r="B779" t="s">
        <v>1413</v>
      </c>
      <c r="C779">
        <v>71</v>
      </c>
      <c r="D779" t="s">
        <v>13</v>
      </c>
      <c r="E779" s="2">
        <v>45731</v>
      </c>
      <c r="F779" s="2">
        <v>45741</v>
      </c>
      <c r="G779" t="s">
        <v>14</v>
      </c>
      <c r="H779" t="s">
        <v>15</v>
      </c>
      <c r="I779" s="3">
        <v>26768.21</v>
      </c>
      <c r="J779" s="4">
        <v>100</v>
      </c>
      <c r="K779" t="s">
        <v>26</v>
      </c>
      <c r="L779" t="str" cm="1">
        <f t="array" ref="L779">_xlfn.IFS(C779&lt;18,"under 18",C779&lt;36,"btw 18 &amp; 35",C779&lt;51,"btw 36 &amp;50",C779&lt;66,"btw 51 &amp; 66",C779&gt;66,"66 &amp; above")</f>
        <v>66 &amp; above</v>
      </c>
      <c r="M779">
        <f t="shared" si="13"/>
        <v>10</v>
      </c>
    </row>
    <row r="780" spans="1:13" x14ac:dyDescent="0.25">
      <c r="A780" t="s">
        <v>1414</v>
      </c>
      <c r="B780" t="s">
        <v>1415</v>
      </c>
      <c r="C780">
        <v>85</v>
      </c>
      <c r="D780" t="s">
        <v>19</v>
      </c>
      <c r="E780" s="2">
        <v>45811</v>
      </c>
      <c r="F780" s="2">
        <v>45815</v>
      </c>
      <c r="G780" t="s">
        <v>32</v>
      </c>
      <c r="H780" t="s">
        <v>45</v>
      </c>
      <c r="I780" s="3">
        <v>2615.96</v>
      </c>
      <c r="J780" s="4">
        <v>100</v>
      </c>
      <c r="K780" t="s">
        <v>16</v>
      </c>
      <c r="L780" t="str" cm="1">
        <f t="array" ref="L780">_xlfn.IFS(C780&lt;18,"under 18",C780&lt;36,"btw 18 &amp; 35",C780&lt;51,"btw 36 &amp;50",C780&lt;66,"btw 51 &amp; 66",C780&gt;66,"66 &amp; above")</f>
        <v>66 &amp; above</v>
      </c>
      <c r="M780">
        <f t="shared" si="13"/>
        <v>4</v>
      </c>
    </row>
    <row r="781" spans="1:13" x14ac:dyDescent="0.25">
      <c r="A781" t="s">
        <v>1416</v>
      </c>
      <c r="B781" t="s">
        <v>1417</v>
      </c>
      <c r="C781">
        <v>74</v>
      </c>
      <c r="D781" t="s">
        <v>13</v>
      </c>
      <c r="E781" s="2">
        <v>46008</v>
      </c>
      <c r="F781" s="2">
        <v>46014</v>
      </c>
      <c r="G781" t="s">
        <v>32</v>
      </c>
      <c r="H781" t="s">
        <v>235</v>
      </c>
      <c r="I781" s="3">
        <v>7371.54</v>
      </c>
      <c r="J781" s="4">
        <v>70</v>
      </c>
      <c r="K781" t="s">
        <v>26</v>
      </c>
      <c r="L781" t="str" cm="1">
        <f t="array" ref="L781">_xlfn.IFS(C781&lt;18,"under 18",C781&lt;36,"btw 18 &amp; 35",C781&lt;51,"btw 36 &amp;50",C781&lt;66,"btw 51 &amp; 66",C781&gt;66,"66 &amp; above")</f>
        <v>66 &amp; above</v>
      </c>
      <c r="M781">
        <f t="shared" si="13"/>
        <v>6</v>
      </c>
    </row>
    <row r="782" spans="1:13" x14ac:dyDescent="0.25">
      <c r="A782" t="s">
        <v>1418</v>
      </c>
      <c r="B782" t="s">
        <v>1419</v>
      </c>
      <c r="C782">
        <v>74</v>
      </c>
      <c r="D782" t="s">
        <v>19</v>
      </c>
      <c r="E782" s="2">
        <v>45657</v>
      </c>
      <c r="F782" s="2">
        <v>45658</v>
      </c>
      <c r="G782" t="s">
        <v>24</v>
      </c>
      <c r="H782" t="s">
        <v>205</v>
      </c>
      <c r="I782" s="3">
        <v>1984.12</v>
      </c>
      <c r="J782" s="4">
        <v>70</v>
      </c>
      <c r="K782" t="s">
        <v>21</v>
      </c>
      <c r="L782" t="str" cm="1">
        <f t="array" ref="L782">_xlfn.IFS(C782&lt;18,"under 18",C782&lt;36,"btw 18 &amp; 35",C782&lt;51,"btw 36 &amp;50",C782&lt;66,"btw 51 &amp; 66",C782&gt;66,"66 &amp; above")</f>
        <v>66 &amp; above</v>
      </c>
      <c r="M782">
        <f t="shared" si="13"/>
        <v>1</v>
      </c>
    </row>
    <row r="783" spans="1:13" x14ac:dyDescent="0.25">
      <c r="A783" t="s">
        <v>1420</v>
      </c>
      <c r="B783" t="s">
        <v>1183</v>
      </c>
      <c r="C783">
        <v>42</v>
      </c>
      <c r="D783" t="s">
        <v>19</v>
      </c>
      <c r="E783" s="2">
        <v>45755</v>
      </c>
      <c r="F783" s="2">
        <v>45761</v>
      </c>
      <c r="G783" t="s">
        <v>71</v>
      </c>
      <c r="H783" t="s">
        <v>95</v>
      </c>
      <c r="I783" s="3">
        <v>15265.35</v>
      </c>
      <c r="J783" s="4">
        <v>100</v>
      </c>
      <c r="K783" t="s">
        <v>16</v>
      </c>
      <c r="L783" t="str" cm="1">
        <f t="array" ref="L783">_xlfn.IFS(C783&lt;18,"under 18",C783&lt;36,"btw 18 &amp; 35",C783&lt;51,"btw 36 &amp;50",C783&lt;66,"btw 51 &amp; 66",C783&gt;66,"66 &amp; above")</f>
        <v>btw 36 &amp;50</v>
      </c>
      <c r="M783">
        <f t="shared" si="13"/>
        <v>6</v>
      </c>
    </row>
    <row r="784" spans="1:13" x14ac:dyDescent="0.25">
      <c r="A784" t="s">
        <v>1421</v>
      </c>
      <c r="B784" t="s">
        <v>1422</v>
      </c>
      <c r="C784">
        <v>43</v>
      </c>
      <c r="D784" t="s">
        <v>13</v>
      </c>
      <c r="E784" s="2">
        <v>45574</v>
      </c>
      <c r="F784" s="2">
        <v>45585</v>
      </c>
      <c r="G784" t="s">
        <v>71</v>
      </c>
      <c r="H784" t="s">
        <v>296</v>
      </c>
      <c r="I784" s="3">
        <v>24895.77</v>
      </c>
      <c r="J784" s="4">
        <v>80</v>
      </c>
      <c r="K784" t="s">
        <v>16</v>
      </c>
      <c r="L784" t="str" cm="1">
        <f t="array" ref="L784">_xlfn.IFS(C784&lt;18,"under 18",C784&lt;36,"btw 18 &amp; 35",C784&lt;51,"btw 36 &amp;50",C784&lt;66,"btw 51 &amp; 66",C784&gt;66,"66 &amp; above")</f>
        <v>btw 36 &amp;50</v>
      </c>
      <c r="M784">
        <f t="shared" si="13"/>
        <v>11</v>
      </c>
    </row>
    <row r="785" spans="1:13" x14ac:dyDescent="0.25">
      <c r="A785" t="s">
        <v>1423</v>
      </c>
      <c r="B785" t="s">
        <v>1136</v>
      </c>
      <c r="C785">
        <v>43</v>
      </c>
      <c r="D785" t="s">
        <v>19</v>
      </c>
      <c r="E785" s="2">
        <v>45743</v>
      </c>
      <c r="F785" s="2">
        <v>45747</v>
      </c>
      <c r="G785" t="s">
        <v>32</v>
      </c>
      <c r="H785" t="s">
        <v>36</v>
      </c>
      <c r="I785" s="3">
        <v>2392.67</v>
      </c>
      <c r="J785" s="4">
        <v>60</v>
      </c>
      <c r="K785" t="s">
        <v>26</v>
      </c>
      <c r="L785" t="str" cm="1">
        <f t="array" ref="L785">_xlfn.IFS(C785&lt;18,"under 18",C785&lt;36,"btw 18 &amp; 35",C785&lt;51,"btw 36 &amp;50",C785&lt;66,"btw 51 &amp; 66",C785&gt;66,"66 &amp; above")</f>
        <v>btw 36 &amp;50</v>
      </c>
      <c r="M785">
        <f t="shared" si="13"/>
        <v>4</v>
      </c>
    </row>
    <row r="786" spans="1:13" x14ac:dyDescent="0.25">
      <c r="A786" t="s">
        <v>1424</v>
      </c>
      <c r="B786" t="s">
        <v>209</v>
      </c>
      <c r="C786">
        <v>23</v>
      </c>
      <c r="D786" t="s">
        <v>19</v>
      </c>
      <c r="E786" s="2">
        <v>45634</v>
      </c>
      <c r="F786" s="2">
        <v>45635</v>
      </c>
      <c r="G786" t="s">
        <v>32</v>
      </c>
      <c r="H786" t="s">
        <v>115</v>
      </c>
      <c r="I786" s="3">
        <v>1000.43</v>
      </c>
      <c r="J786" s="4">
        <v>90</v>
      </c>
      <c r="K786" t="s">
        <v>16</v>
      </c>
      <c r="L786" t="str" cm="1">
        <f t="array" ref="L786">_xlfn.IFS(C786&lt;18,"under 18",C786&lt;36,"btw 18 &amp; 35",C786&lt;51,"btw 36 &amp;50",C786&lt;66,"btw 51 &amp; 66",C786&gt;66,"66 &amp; above")</f>
        <v>btw 18 &amp; 35</v>
      </c>
      <c r="M786">
        <f t="shared" si="13"/>
        <v>1</v>
      </c>
    </row>
    <row r="787" spans="1:13" x14ac:dyDescent="0.25">
      <c r="A787" t="s">
        <v>1425</v>
      </c>
      <c r="B787" t="s">
        <v>554</v>
      </c>
      <c r="C787">
        <v>58</v>
      </c>
      <c r="D787" t="s">
        <v>13</v>
      </c>
      <c r="E787" s="2">
        <v>45709</v>
      </c>
      <c r="F787" s="2">
        <v>45713</v>
      </c>
      <c r="G787" t="s">
        <v>71</v>
      </c>
      <c r="H787" t="s">
        <v>238</v>
      </c>
      <c r="I787" s="3">
        <v>10299</v>
      </c>
      <c r="J787" s="4">
        <v>90</v>
      </c>
      <c r="K787" t="s">
        <v>16</v>
      </c>
      <c r="L787" t="str" cm="1">
        <f t="array" ref="L787">_xlfn.IFS(C787&lt;18,"under 18",C787&lt;36,"btw 18 &amp; 35",C787&lt;51,"btw 36 &amp;50",C787&lt;66,"btw 51 &amp; 66",C787&gt;66,"66 &amp; above")</f>
        <v>btw 51 &amp; 66</v>
      </c>
      <c r="M787">
        <f t="shared" si="13"/>
        <v>4</v>
      </c>
    </row>
    <row r="788" spans="1:13" x14ac:dyDescent="0.25">
      <c r="A788" t="s">
        <v>1426</v>
      </c>
      <c r="B788" t="s">
        <v>619</v>
      </c>
      <c r="C788">
        <v>58</v>
      </c>
      <c r="D788" t="s">
        <v>19</v>
      </c>
      <c r="E788" s="2">
        <v>45574</v>
      </c>
      <c r="F788" s="2">
        <v>45584</v>
      </c>
      <c r="G788" t="s">
        <v>71</v>
      </c>
      <c r="H788" t="s">
        <v>158</v>
      </c>
      <c r="I788" s="3">
        <v>25129.38</v>
      </c>
      <c r="J788" s="4">
        <v>90</v>
      </c>
      <c r="K788" t="s">
        <v>16</v>
      </c>
      <c r="L788" t="str" cm="1">
        <f t="array" ref="L788">_xlfn.IFS(C788&lt;18,"under 18",C788&lt;36,"btw 18 &amp; 35",C788&lt;51,"btw 36 &amp;50",C788&lt;66,"btw 51 &amp; 66",C788&gt;66,"66 &amp; above")</f>
        <v>btw 51 &amp; 66</v>
      </c>
      <c r="M788">
        <f t="shared" si="13"/>
        <v>10</v>
      </c>
    </row>
    <row r="789" spans="1:13" x14ac:dyDescent="0.25">
      <c r="A789" t="s">
        <v>1427</v>
      </c>
      <c r="B789" t="s">
        <v>1428</v>
      </c>
      <c r="C789">
        <v>9</v>
      </c>
      <c r="D789" t="s">
        <v>13</v>
      </c>
      <c r="E789" s="2">
        <v>45418</v>
      </c>
      <c r="F789" s="2">
        <v>45423</v>
      </c>
      <c r="G789" t="s">
        <v>50</v>
      </c>
      <c r="H789" t="s">
        <v>118</v>
      </c>
      <c r="I789" s="3">
        <v>6735.15</v>
      </c>
      <c r="J789" s="4">
        <v>100</v>
      </c>
      <c r="K789" t="s">
        <v>26</v>
      </c>
      <c r="L789" t="str" cm="1">
        <f t="array" ref="L789">_xlfn.IFS(C789&lt;18,"under 18",C789&lt;36,"btw 18 &amp; 35",C789&lt;51,"btw 36 &amp;50",C789&lt;66,"btw 51 &amp; 66",C789&gt;66,"66 &amp; above")</f>
        <v>under 18</v>
      </c>
      <c r="M789">
        <f t="shared" si="13"/>
        <v>5</v>
      </c>
    </row>
    <row r="790" spans="1:13" x14ac:dyDescent="0.25">
      <c r="A790" t="s">
        <v>1429</v>
      </c>
      <c r="B790" t="s">
        <v>836</v>
      </c>
      <c r="C790">
        <v>62</v>
      </c>
      <c r="D790" t="s">
        <v>19</v>
      </c>
      <c r="E790" s="2">
        <v>45530</v>
      </c>
      <c r="F790" s="2">
        <v>45540</v>
      </c>
      <c r="G790" t="s">
        <v>14</v>
      </c>
      <c r="H790" t="s">
        <v>112</v>
      </c>
      <c r="I790" s="3">
        <v>20130.14</v>
      </c>
      <c r="J790" s="4">
        <v>70</v>
      </c>
      <c r="K790" t="s">
        <v>16</v>
      </c>
      <c r="L790" t="str" cm="1">
        <f t="array" ref="L790">_xlfn.IFS(C790&lt;18,"under 18",C790&lt;36,"btw 18 &amp; 35",C790&lt;51,"btw 36 &amp;50",C790&lt;66,"btw 51 &amp; 66",C790&gt;66,"66 &amp; above")</f>
        <v>btw 51 &amp; 66</v>
      </c>
      <c r="M790">
        <f t="shared" si="13"/>
        <v>10</v>
      </c>
    </row>
    <row r="791" spans="1:13" x14ac:dyDescent="0.25">
      <c r="A791" t="s">
        <v>1430</v>
      </c>
      <c r="B791" t="s">
        <v>1431</v>
      </c>
      <c r="C791">
        <v>3</v>
      </c>
      <c r="D791" t="s">
        <v>13</v>
      </c>
      <c r="E791" s="2">
        <v>45349</v>
      </c>
      <c r="F791" s="2">
        <v>45350</v>
      </c>
      <c r="G791" t="s">
        <v>50</v>
      </c>
      <c r="H791" t="s">
        <v>379</v>
      </c>
      <c r="I791" s="3">
        <v>1138.69</v>
      </c>
      <c r="J791" s="4">
        <v>80</v>
      </c>
      <c r="K791" t="s">
        <v>16</v>
      </c>
      <c r="L791" t="str" cm="1">
        <f t="array" ref="L791">_xlfn.IFS(C791&lt;18,"under 18",C791&lt;36,"btw 18 &amp; 35",C791&lt;51,"btw 36 &amp;50",C791&lt;66,"btw 51 &amp; 66",C791&gt;66,"66 &amp; above")</f>
        <v>under 18</v>
      </c>
      <c r="M791">
        <f t="shared" si="13"/>
        <v>1</v>
      </c>
    </row>
    <row r="792" spans="1:13" x14ac:dyDescent="0.25">
      <c r="A792" t="s">
        <v>1432</v>
      </c>
      <c r="B792" t="s">
        <v>567</v>
      </c>
      <c r="C792">
        <v>75</v>
      </c>
      <c r="D792" t="s">
        <v>13</v>
      </c>
      <c r="E792" s="2">
        <v>45919</v>
      </c>
      <c r="F792" s="2">
        <v>45932</v>
      </c>
      <c r="G792" t="s">
        <v>61</v>
      </c>
      <c r="H792" t="s">
        <v>98</v>
      </c>
      <c r="I792" s="3">
        <v>17304.05</v>
      </c>
      <c r="J792" s="4">
        <v>80</v>
      </c>
      <c r="K792" t="s">
        <v>16</v>
      </c>
      <c r="L792" t="str" cm="1">
        <f t="array" ref="L792">_xlfn.IFS(C792&lt;18,"under 18",C792&lt;36,"btw 18 &amp; 35",C792&lt;51,"btw 36 &amp;50",C792&lt;66,"btw 51 &amp; 66",C792&gt;66,"66 &amp; above")</f>
        <v>66 &amp; above</v>
      </c>
      <c r="M792">
        <f t="shared" si="13"/>
        <v>13</v>
      </c>
    </row>
    <row r="793" spans="1:13" x14ac:dyDescent="0.25">
      <c r="A793" t="s">
        <v>1433</v>
      </c>
      <c r="B793" t="s">
        <v>1434</v>
      </c>
      <c r="C793">
        <v>66</v>
      </c>
      <c r="D793" t="s">
        <v>19</v>
      </c>
      <c r="E793" s="2">
        <v>45666</v>
      </c>
      <c r="F793" s="2">
        <v>45670</v>
      </c>
      <c r="G793" t="s">
        <v>32</v>
      </c>
      <c r="H793" t="s">
        <v>235</v>
      </c>
      <c r="I793" s="3">
        <v>2563.36</v>
      </c>
      <c r="J793" s="4">
        <v>70</v>
      </c>
      <c r="K793" t="s">
        <v>16</v>
      </c>
      <c r="L793" t="e" cm="1">
        <f t="array" ref="L793">_xlfn.IFS(C793&lt;18,"under 18",C793&lt;36,"btw 18 &amp; 35",C793&lt;51,"btw 36 &amp;50",C793&lt;66,"btw 51 &amp; 66",C793&gt;66,"66 &amp; above")</f>
        <v>#N/A</v>
      </c>
      <c r="M793">
        <f t="shared" si="13"/>
        <v>4</v>
      </c>
    </row>
    <row r="794" spans="1:13" x14ac:dyDescent="0.25">
      <c r="A794" t="s">
        <v>1435</v>
      </c>
      <c r="B794" t="s">
        <v>1023</v>
      </c>
      <c r="C794">
        <v>73</v>
      </c>
      <c r="D794" t="s">
        <v>19</v>
      </c>
      <c r="E794" s="2">
        <v>45886</v>
      </c>
      <c r="F794" s="2">
        <v>45892</v>
      </c>
      <c r="G794" t="s">
        <v>32</v>
      </c>
      <c r="H794" t="s">
        <v>33</v>
      </c>
      <c r="I794" s="3">
        <v>5938.64</v>
      </c>
      <c r="J794" s="4">
        <v>80</v>
      </c>
      <c r="K794" t="s">
        <v>16</v>
      </c>
      <c r="L794" t="str" cm="1">
        <f t="array" ref="L794">_xlfn.IFS(C794&lt;18,"under 18",C794&lt;36,"btw 18 &amp; 35",C794&lt;51,"btw 36 &amp;50",C794&lt;66,"btw 51 &amp; 66",C794&gt;66,"66 &amp; above")</f>
        <v>66 &amp; above</v>
      </c>
      <c r="M794">
        <f t="shared" si="13"/>
        <v>6</v>
      </c>
    </row>
    <row r="795" spans="1:13" x14ac:dyDescent="0.25">
      <c r="A795" t="s">
        <v>1436</v>
      </c>
      <c r="B795" t="s">
        <v>631</v>
      </c>
      <c r="C795">
        <v>58</v>
      </c>
      <c r="D795" t="s">
        <v>13</v>
      </c>
      <c r="E795" s="2">
        <v>45763</v>
      </c>
      <c r="F795" s="2">
        <v>45766</v>
      </c>
      <c r="G795" t="s">
        <v>61</v>
      </c>
      <c r="H795" t="s">
        <v>75</v>
      </c>
      <c r="I795" s="3">
        <v>6946.39</v>
      </c>
      <c r="J795" s="4">
        <v>90</v>
      </c>
      <c r="K795" t="s">
        <v>16</v>
      </c>
      <c r="L795" t="str" cm="1">
        <f t="array" ref="L795">_xlfn.IFS(C795&lt;18,"under 18",C795&lt;36,"btw 18 &amp; 35",C795&lt;51,"btw 36 &amp;50",C795&lt;66,"btw 51 &amp; 66",C795&gt;66,"66 &amp; above")</f>
        <v>btw 51 &amp; 66</v>
      </c>
      <c r="M795">
        <f t="shared" si="13"/>
        <v>3</v>
      </c>
    </row>
    <row r="796" spans="1:13" x14ac:dyDescent="0.25">
      <c r="A796" t="s">
        <v>1437</v>
      </c>
      <c r="B796" t="s">
        <v>1438</v>
      </c>
      <c r="C796">
        <v>32</v>
      </c>
      <c r="D796" t="s">
        <v>19</v>
      </c>
      <c r="E796" s="2">
        <v>45812</v>
      </c>
      <c r="F796" s="2">
        <v>45823</v>
      </c>
      <c r="G796" t="s">
        <v>71</v>
      </c>
      <c r="H796" t="s">
        <v>195</v>
      </c>
      <c r="I796" s="3">
        <v>15560.38</v>
      </c>
      <c r="J796" s="4">
        <v>80</v>
      </c>
      <c r="K796" t="s">
        <v>16</v>
      </c>
      <c r="L796" t="str" cm="1">
        <f t="array" ref="L796">_xlfn.IFS(C796&lt;18,"under 18",C796&lt;36,"btw 18 &amp; 35",C796&lt;51,"btw 36 &amp;50",C796&lt;66,"btw 51 &amp; 66",C796&gt;66,"66 &amp; above")</f>
        <v>btw 18 &amp; 35</v>
      </c>
      <c r="M796">
        <f t="shared" si="13"/>
        <v>11</v>
      </c>
    </row>
    <row r="797" spans="1:13" x14ac:dyDescent="0.25">
      <c r="A797" t="s">
        <v>1439</v>
      </c>
      <c r="B797" t="s">
        <v>1440</v>
      </c>
      <c r="C797">
        <v>14</v>
      </c>
      <c r="D797" t="s">
        <v>13</v>
      </c>
      <c r="E797" s="2">
        <v>45746</v>
      </c>
      <c r="F797" s="2">
        <v>45750</v>
      </c>
      <c r="G797" t="s">
        <v>50</v>
      </c>
      <c r="H797" t="s">
        <v>118</v>
      </c>
      <c r="I797" s="3">
        <v>6667.93</v>
      </c>
      <c r="J797" s="4">
        <v>90</v>
      </c>
      <c r="K797" t="s">
        <v>21</v>
      </c>
      <c r="L797" t="str" cm="1">
        <f t="array" ref="L797">_xlfn.IFS(C797&lt;18,"under 18",C797&lt;36,"btw 18 &amp; 35",C797&lt;51,"btw 36 &amp;50",C797&lt;66,"btw 51 &amp; 66",C797&gt;66,"66 &amp; above")</f>
        <v>under 18</v>
      </c>
      <c r="M797">
        <f t="shared" si="13"/>
        <v>4</v>
      </c>
    </row>
    <row r="798" spans="1:13" x14ac:dyDescent="0.25">
      <c r="A798" t="s">
        <v>1441</v>
      </c>
      <c r="B798" t="s">
        <v>1313</v>
      </c>
      <c r="C798">
        <v>26</v>
      </c>
      <c r="D798" t="s">
        <v>13</v>
      </c>
      <c r="E798" s="2">
        <v>45305</v>
      </c>
      <c r="F798" s="2">
        <v>45307</v>
      </c>
      <c r="G798" t="s">
        <v>24</v>
      </c>
      <c r="H798" t="s">
        <v>205</v>
      </c>
      <c r="I798" s="3">
        <v>3800.12</v>
      </c>
      <c r="J798" s="4">
        <v>70</v>
      </c>
      <c r="K798" t="s">
        <v>16</v>
      </c>
      <c r="L798" t="str" cm="1">
        <f t="array" ref="L798">_xlfn.IFS(C798&lt;18,"under 18",C798&lt;36,"btw 18 &amp; 35",C798&lt;51,"btw 36 &amp;50",C798&lt;66,"btw 51 &amp; 66",C798&gt;66,"66 &amp; above")</f>
        <v>btw 18 &amp; 35</v>
      </c>
      <c r="M798">
        <f t="shared" si="13"/>
        <v>2</v>
      </c>
    </row>
    <row r="799" spans="1:13" x14ac:dyDescent="0.25">
      <c r="A799" t="s">
        <v>1442</v>
      </c>
      <c r="B799" t="s">
        <v>1443</v>
      </c>
      <c r="C799">
        <v>25</v>
      </c>
      <c r="D799" t="s">
        <v>19</v>
      </c>
      <c r="E799" s="2">
        <v>45344</v>
      </c>
      <c r="F799" s="2">
        <v>45345</v>
      </c>
      <c r="G799" t="s">
        <v>24</v>
      </c>
      <c r="H799" t="s">
        <v>42</v>
      </c>
      <c r="I799" s="3">
        <v>1697.82</v>
      </c>
      <c r="J799" s="4">
        <v>80</v>
      </c>
      <c r="K799" t="s">
        <v>16</v>
      </c>
      <c r="L799" t="str" cm="1">
        <f t="array" ref="L799">_xlfn.IFS(C799&lt;18,"under 18",C799&lt;36,"btw 18 &amp; 35",C799&lt;51,"btw 36 &amp;50",C799&lt;66,"btw 51 &amp; 66",C799&gt;66,"66 &amp; above")</f>
        <v>btw 18 &amp; 35</v>
      </c>
      <c r="M799">
        <f t="shared" si="13"/>
        <v>1</v>
      </c>
    </row>
    <row r="800" spans="1:13" x14ac:dyDescent="0.25">
      <c r="A800" t="s">
        <v>1444</v>
      </c>
      <c r="B800" t="s">
        <v>1233</v>
      </c>
      <c r="C800">
        <v>44</v>
      </c>
      <c r="D800" t="s">
        <v>13</v>
      </c>
      <c r="E800" s="2">
        <v>45980</v>
      </c>
      <c r="F800" s="2">
        <v>45983</v>
      </c>
      <c r="G800" t="s">
        <v>14</v>
      </c>
      <c r="H800" t="s">
        <v>166</v>
      </c>
      <c r="I800" s="3">
        <v>8833.89</v>
      </c>
      <c r="J800" s="4">
        <v>100</v>
      </c>
      <c r="K800" t="s">
        <v>16</v>
      </c>
      <c r="L800" t="str" cm="1">
        <f t="array" ref="L800">_xlfn.IFS(C800&lt;18,"under 18",C800&lt;36,"btw 18 &amp; 35",C800&lt;51,"btw 36 &amp;50",C800&lt;66,"btw 51 &amp; 66",C800&gt;66,"66 &amp; above")</f>
        <v>btw 36 &amp;50</v>
      </c>
      <c r="M800">
        <f t="shared" si="13"/>
        <v>3</v>
      </c>
    </row>
    <row r="801" spans="1:13" x14ac:dyDescent="0.25">
      <c r="A801" t="s">
        <v>1445</v>
      </c>
      <c r="B801" t="s">
        <v>1406</v>
      </c>
      <c r="C801">
        <v>52</v>
      </c>
      <c r="D801" t="s">
        <v>13</v>
      </c>
      <c r="E801" s="2">
        <v>45809</v>
      </c>
      <c r="F801" s="2">
        <v>45810</v>
      </c>
      <c r="G801" t="s">
        <v>32</v>
      </c>
      <c r="H801" t="s">
        <v>36</v>
      </c>
      <c r="I801" s="3">
        <v>809.13</v>
      </c>
      <c r="J801" s="4">
        <v>60</v>
      </c>
      <c r="K801" t="s">
        <v>21</v>
      </c>
      <c r="L801" t="str" cm="1">
        <f t="array" ref="L801">_xlfn.IFS(C801&lt;18,"under 18",C801&lt;36,"btw 18 &amp; 35",C801&lt;51,"btw 36 &amp;50",C801&lt;66,"btw 51 &amp; 66",C801&gt;66,"66 &amp; above")</f>
        <v>btw 51 &amp; 66</v>
      </c>
      <c r="M801">
        <f t="shared" si="13"/>
        <v>1</v>
      </c>
    </row>
    <row r="802" spans="1:13" x14ac:dyDescent="0.25">
      <c r="A802" t="s">
        <v>1446</v>
      </c>
      <c r="B802" t="s">
        <v>1447</v>
      </c>
      <c r="C802">
        <v>66</v>
      </c>
      <c r="D802" t="s">
        <v>13</v>
      </c>
      <c r="E802" s="2">
        <v>45335</v>
      </c>
      <c r="F802" s="2">
        <v>45337</v>
      </c>
      <c r="G802" t="s">
        <v>24</v>
      </c>
      <c r="H802" t="s">
        <v>334</v>
      </c>
      <c r="I802" s="3">
        <v>2529.54</v>
      </c>
      <c r="J802" s="4">
        <v>100</v>
      </c>
      <c r="K802" t="s">
        <v>21</v>
      </c>
      <c r="L802" t="e" cm="1">
        <f t="array" ref="L802">_xlfn.IFS(C802&lt;18,"under 18",C802&lt;36,"btw 18 &amp; 35",C802&lt;51,"btw 36 &amp;50",C802&lt;66,"btw 51 &amp; 66",C802&gt;66,"66 &amp; above")</f>
        <v>#N/A</v>
      </c>
      <c r="M802">
        <f t="shared" si="13"/>
        <v>2</v>
      </c>
    </row>
    <row r="803" spans="1:13" x14ac:dyDescent="0.25">
      <c r="A803" t="s">
        <v>1448</v>
      </c>
      <c r="B803" t="s">
        <v>1058</v>
      </c>
      <c r="C803">
        <v>8</v>
      </c>
      <c r="D803" t="s">
        <v>19</v>
      </c>
      <c r="E803" s="2">
        <v>45939</v>
      </c>
      <c r="F803" s="2">
        <v>45942</v>
      </c>
      <c r="G803" t="s">
        <v>50</v>
      </c>
      <c r="H803" t="s">
        <v>51</v>
      </c>
      <c r="I803" s="3">
        <v>4739.3900000000003</v>
      </c>
      <c r="J803" s="4">
        <v>80</v>
      </c>
      <c r="K803" t="s">
        <v>21</v>
      </c>
      <c r="L803" t="str" cm="1">
        <f t="array" ref="L803">_xlfn.IFS(C803&lt;18,"under 18",C803&lt;36,"btw 18 &amp; 35",C803&lt;51,"btw 36 &amp;50",C803&lt;66,"btw 51 &amp; 66",C803&gt;66,"66 &amp; above")</f>
        <v>under 18</v>
      </c>
      <c r="M803">
        <f t="shared" si="13"/>
        <v>3</v>
      </c>
    </row>
    <row r="804" spans="1:13" x14ac:dyDescent="0.25">
      <c r="A804" t="s">
        <v>1449</v>
      </c>
      <c r="B804" t="s">
        <v>953</v>
      </c>
      <c r="C804">
        <v>37</v>
      </c>
      <c r="D804" t="s">
        <v>19</v>
      </c>
      <c r="E804" s="2">
        <v>45961</v>
      </c>
      <c r="F804" s="2">
        <v>45962</v>
      </c>
      <c r="G804" t="s">
        <v>24</v>
      </c>
      <c r="H804" t="s">
        <v>29</v>
      </c>
      <c r="I804" s="3">
        <v>1444.42</v>
      </c>
      <c r="J804" s="4">
        <v>80</v>
      </c>
      <c r="K804" t="s">
        <v>16</v>
      </c>
      <c r="L804" t="str" cm="1">
        <f t="array" ref="L804">_xlfn.IFS(C804&lt;18,"under 18",C804&lt;36,"btw 18 &amp; 35",C804&lt;51,"btw 36 &amp;50",C804&lt;66,"btw 51 &amp; 66",C804&gt;66,"66 &amp; above")</f>
        <v>btw 36 &amp;50</v>
      </c>
      <c r="M804">
        <f t="shared" si="13"/>
        <v>1</v>
      </c>
    </row>
    <row r="805" spans="1:13" x14ac:dyDescent="0.25">
      <c r="A805" t="s">
        <v>1450</v>
      </c>
      <c r="B805" t="s">
        <v>1451</v>
      </c>
      <c r="C805">
        <v>21</v>
      </c>
      <c r="D805" t="s">
        <v>19</v>
      </c>
      <c r="E805" s="2">
        <v>45384</v>
      </c>
      <c r="F805" s="2">
        <v>45385</v>
      </c>
      <c r="G805" t="s">
        <v>32</v>
      </c>
      <c r="H805" t="s">
        <v>54</v>
      </c>
      <c r="I805" s="3">
        <v>646.89</v>
      </c>
      <c r="J805" s="4">
        <v>70</v>
      </c>
      <c r="K805" t="s">
        <v>21</v>
      </c>
      <c r="L805" t="str" cm="1">
        <f t="array" ref="L805">_xlfn.IFS(C805&lt;18,"under 18",C805&lt;36,"btw 18 &amp; 35",C805&lt;51,"btw 36 &amp;50",C805&lt;66,"btw 51 &amp; 66",C805&gt;66,"66 &amp; above")</f>
        <v>btw 18 &amp; 35</v>
      </c>
      <c r="M805">
        <f t="shared" si="13"/>
        <v>1</v>
      </c>
    </row>
    <row r="806" spans="1:13" x14ac:dyDescent="0.25">
      <c r="A806" t="s">
        <v>1452</v>
      </c>
      <c r="B806" t="s">
        <v>1129</v>
      </c>
      <c r="C806">
        <v>64</v>
      </c>
      <c r="D806" t="s">
        <v>13</v>
      </c>
      <c r="E806" s="2">
        <v>45553</v>
      </c>
      <c r="F806" s="2">
        <v>45555</v>
      </c>
      <c r="G806" t="s">
        <v>24</v>
      </c>
      <c r="H806" t="s">
        <v>222</v>
      </c>
      <c r="I806" s="3">
        <v>4600.38</v>
      </c>
      <c r="J806" s="4">
        <v>70</v>
      </c>
      <c r="K806" t="s">
        <v>16</v>
      </c>
      <c r="L806" t="str" cm="1">
        <f t="array" ref="L806">_xlfn.IFS(C806&lt;18,"under 18",C806&lt;36,"btw 18 &amp; 35",C806&lt;51,"btw 36 &amp;50",C806&lt;66,"btw 51 &amp; 66",C806&gt;66,"66 &amp; above")</f>
        <v>btw 51 &amp; 66</v>
      </c>
      <c r="M806">
        <f t="shared" si="13"/>
        <v>2</v>
      </c>
    </row>
    <row r="807" spans="1:13" x14ac:dyDescent="0.25">
      <c r="A807" t="s">
        <v>1453</v>
      </c>
      <c r="B807" t="s">
        <v>578</v>
      </c>
      <c r="C807">
        <v>78</v>
      </c>
      <c r="D807" t="s">
        <v>19</v>
      </c>
      <c r="E807" s="2">
        <v>45495</v>
      </c>
      <c r="F807" s="2">
        <v>45498</v>
      </c>
      <c r="G807" t="s">
        <v>24</v>
      </c>
      <c r="H807" t="s">
        <v>29</v>
      </c>
      <c r="I807" s="3">
        <v>2479.6999999999998</v>
      </c>
      <c r="J807" s="4">
        <v>80</v>
      </c>
      <c r="K807" t="s">
        <v>16</v>
      </c>
      <c r="L807" t="str" cm="1">
        <f t="array" ref="L807">_xlfn.IFS(C807&lt;18,"under 18",C807&lt;36,"btw 18 &amp; 35",C807&lt;51,"btw 36 &amp;50",C807&lt;66,"btw 51 &amp; 66",C807&gt;66,"66 &amp; above")</f>
        <v>66 &amp; above</v>
      </c>
      <c r="M807">
        <f t="shared" si="13"/>
        <v>3</v>
      </c>
    </row>
    <row r="808" spans="1:13" x14ac:dyDescent="0.25">
      <c r="A808" t="s">
        <v>1454</v>
      </c>
      <c r="B808" t="s">
        <v>1345</v>
      </c>
      <c r="C808">
        <v>48</v>
      </c>
      <c r="D808" t="s">
        <v>13</v>
      </c>
      <c r="E808" s="2">
        <v>45955</v>
      </c>
      <c r="F808" s="2">
        <v>45962</v>
      </c>
      <c r="G808" t="s">
        <v>32</v>
      </c>
      <c r="H808" t="s">
        <v>88</v>
      </c>
      <c r="I808" s="3">
        <v>10101.09</v>
      </c>
      <c r="J808" s="4">
        <v>80</v>
      </c>
      <c r="K808" t="s">
        <v>26</v>
      </c>
      <c r="L808" t="str" cm="1">
        <f t="array" ref="L808">_xlfn.IFS(C808&lt;18,"under 18",C808&lt;36,"btw 18 &amp; 35",C808&lt;51,"btw 36 &amp;50",C808&lt;66,"btw 51 &amp; 66",C808&gt;66,"66 &amp; above")</f>
        <v>btw 36 &amp;50</v>
      </c>
      <c r="M808">
        <f t="shared" si="13"/>
        <v>7</v>
      </c>
    </row>
    <row r="809" spans="1:13" x14ac:dyDescent="0.25">
      <c r="A809" t="s">
        <v>1455</v>
      </c>
      <c r="B809" t="s">
        <v>1456</v>
      </c>
      <c r="C809">
        <v>59</v>
      </c>
      <c r="D809" t="s">
        <v>19</v>
      </c>
      <c r="E809" s="2">
        <v>45921</v>
      </c>
      <c r="F809" s="2">
        <v>45924</v>
      </c>
      <c r="G809" t="s">
        <v>32</v>
      </c>
      <c r="H809" t="s">
        <v>235</v>
      </c>
      <c r="I809" s="3">
        <v>2291.15</v>
      </c>
      <c r="J809" s="4">
        <v>60</v>
      </c>
      <c r="K809" t="s">
        <v>16</v>
      </c>
      <c r="L809" t="str" cm="1">
        <f t="array" ref="L809">_xlfn.IFS(C809&lt;18,"under 18",C809&lt;36,"btw 18 &amp; 35",C809&lt;51,"btw 36 &amp;50",C809&lt;66,"btw 51 &amp; 66",C809&gt;66,"66 &amp; above")</f>
        <v>btw 51 &amp; 66</v>
      </c>
      <c r="M809">
        <f t="shared" si="13"/>
        <v>3</v>
      </c>
    </row>
    <row r="810" spans="1:13" x14ac:dyDescent="0.25">
      <c r="A810" t="s">
        <v>1457</v>
      </c>
      <c r="B810" t="s">
        <v>1458</v>
      </c>
      <c r="C810">
        <v>61</v>
      </c>
      <c r="D810" t="s">
        <v>19</v>
      </c>
      <c r="E810" s="2">
        <v>45570</v>
      </c>
      <c r="F810" s="2">
        <v>45573</v>
      </c>
      <c r="G810" t="s">
        <v>32</v>
      </c>
      <c r="H810" t="s">
        <v>36</v>
      </c>
      <c r="I810" s="3">
        <v>4440.5200000000004</v>
      </c>
      <c r="J810" s="4">
        <v>0</v>
      </c>
      <c r="K810" t="s">
        <v>21</v>
      </c>
      <c r="L810" t="str" cm="1">
        <f t="array" ref="L810">_xlfn.IFS(C810&lt;18,"under 18",C810&lt;36,"btw 18 &amp; 35",C810&lt;51,"btw 36 &amp;50",C810&lt;66,"btw 51 &amp; 66",C810&gt;66,"66 &amp; above")</f>
        <v>btw 51 &amp; 66</v>
      </c>
      <c r="M810">
        <f t="shared" si="13"/>
        <v>3</v>
      </c>
    </row>
    <row r="811" spans="1:13" x14ac:dyDescent="0.25">
      <c r="A811" t="s">
        <v>1459</v>
      </c>
      <c r="B811" t="s">
        <v>1460</v>
      </c>
      <c r="C811">
        <v>83</v>
      </c>
      <c r="D811" t="s">
        <v>13</v>
      </c>
      <c r="E811" s="2">
        <v>45602</v>
      </c>
      <c r="F811" s="2">
        <v>45603</v>
      </c>
      <c r="G811" t="s">
        <v>32</v>
      </c>
      <c r="H811" t="s">
        <v>88</v>
      </c>
      <c r="I811" s="3">
        <v>923.56</v>
      </c>
      <c r="J811" s="4">
        <v>90</v>
      </c>
      <c r="K811" t="s">
        <v>16</v>
      </c>
      <c r="L811" t="str" cm="1">
        <f t="array" ref="L811">_xlfn.IFS(C811&lt;18,"under 18",C811&lt;36,"btw 18 &amp; 35",C811&lt;51,"btw 36 &amp;50",C811&lt;66,"btw 51 &amp; 66",C811&gt;66,"66 &amp; above")</f>
        <v>66 &amp; above</v>
      </c>
      <c r="M811">
        <f t="shared" si="13"/>
        <v>1</v>
      </c>
    </row>
    <row r="812" spans="1:13" x14ac:dyDescent="0.25">
      <c r="A812" t="s">
        <v>1461</v>
      </c>
      <c r="B812" t="s">
        <v>859</v>
      </c>
      <c r="C812">
        <v>62</v>
      </c>
      <c r="D812" t="s">
        <v>13</v>
      </c>
      <c r="E812" s="2">
        <v>45601</v>
      </c>
      <c r="F812" s="2">
        <v>45604</v>
      </c>
      <c r="G812" t="s">
        <v>14</v>
      </c>
      <c r="H812" t="s">
        <v>166</v>
      </c>
      <c r="I812" s="3">
        <v>7663.44</v>
      </c>
      <c r="J812" s="4">
        <v>90</v>
      </c>
      <c r="K812" t="s">
        <v>16</v>
      </c>
      <c r="L812" t="str" cm="1">
        <f t="array" ref="L812">_xlfn.IFS(C812&lt;18,"under 18",C812&lt;36,"btw 18 &amp; 35",C812&lt;51,"btw 36 &amp;50",C812&lt;66,"btw 51 &amp; 66",C812&gt;66,"66 &amp; above")</f>
        <v>btw 51 &amp; 66</v>
      </c>
      <c r="M812">
        <f t="shared" si="13"/>
        <v>3</v>
      </c>
    </row>
    <row r="813" spans="1:13" x14ac:dyDescent="0.25">
      <c r="A813" t="s">
        <v>1462</v>
      </c>
      <c r="B813" t="s">
        <v>331</v>
      </c>
      <c r="C813">
        <v>14</v>
      </c>
      <c r="D813" t="s">
        <v>19</v>
      </c>
      <c r="E813" s="2">
        <v>45686</v>
      </c>
      <c r="F813" s="2">
        <v>45690</v>
      </c>
      <c r="G813" t="s">
        <v>50</v>
      </c>
      <c r="H813" t="s">
        <v>124</v>
      </c>
      <c r="I813" s="3">
        <v>6386.92</v>
      </c>
      <c r="J813" s="4">
        <v>100</v>
      </c>
      <c r="K813" t="s">
        <v>16</v>
      </c>
      <c r="L813" t="str" cm="1">
        <f t="array" ref="L813">_xlfn.IFS(C813&lt;18,"under 18",C813&lt;36,"btw 18 &amp; 35",C813&lt;51,"btw 36 &amp;50",C813&lt;66,"btw 51 &amp; 66",C813&gt;66,"66 &amp; above")</f>
        <v>under 18</v>
      </c>
      <c r="M813">
        <f t="shared" si="13"/>
        <v>4</v>
      </c>
    </row>
    <row r="814" spans="1:13" x14ac:dyDescent="0.25">
      <c r="A814" t="s">
        <v>1463</v>
      </c>
      <c r="B814" t="s">
        <v>417</v>
      </c>
      <c r="C814">
        <v>41</v>
      </c>
      <c r="D814" t="s">
        <v>19</v>
      </c>
      <c r="E814" s="2">
        <v>45344</v>
      </c>
      <c r="F814" s="2">
        <v>45346</v>
      </c>
      <c r="G814" t="s">
        <v>24</v>
      </c>
      <c r="H814" t="s">
        <v>222</v>
      </c>
      <c r="I814" s="3">
        <v>3243.4</v>
      </c>
      <c r="J814" s="4">
        <v>70</v>
      </c>
      <c r="K814" t="s">
        <v>26</v>
      </c>
      <c r="L814" t="str" cm="1">
        <f t="array" ref="L814">_xlfn.IFS(C814&lt;18,"under 18",C814&lt;36,"btw 18 &amp; 35",C814&lt;51,"btw 36 &amp;50",C814&lt;66,"btw 51 &amp; 66",C814&gt;66,"66 &amp; above")</f>
        <v>btw 36 &amp;50</v>
      </c>
      <c r="M814">
        <f t="shared" si="13"/>
        <v>2</v>
      </c>
    </row>
    <row r="815" spans="1:13" x14ac:dyDescent="0.25">
      <c r="A815" t="s">
        <v>1464</v>
      </c>
      <c r="B815" t="s">
        <v>840</v>
      </c>
      <c r="C815">
        <v>28</v>
      </c>
      <c r="D815" t="s">
        <v>13</v>
      </c>
      <c r="E815" s="2">
        <v>45523</v>
      </c>
      <c r="F815" s="2">
        <v>45525</v>
      </c>
      <c r="G815" t="s">
        <v>24</v>
      </c>
      <c r="H815" t="s">
        <v>334</v>
      </c>
      <c r="I815" s="3">
        <v>2328.9699999999998</v>
      </c>
      <c r="J815" s="4">
        <v>60</v>
      </c>
      <c r="K815" t="s">
        <v>26</v>
      </c>
      <c r="L815" t="str" cm="1">
        <f t="array" ref="L815">_xlfn.IFS(C815&lt;18,"under 18",C815&lt;36,"btw 18 &amp; 35",C815&lt;51,"btw 36 &amp;50",C815&lt;66,"btw 51 &amp; 66",C815&gt;66,"66 &amp; above")</f>
        <v>btw 18 &amp; 35</v>
      </c>
      <c r="M815">
        <f t="shared" si="13"/>
        <v>2</v>
      </c>
    </row>
    <row r="816" spans="1:13" x14ac:dyDescent="0.25">
      <c r="A816" t="s">
        <v>1465</v>
      </c>
      <c r="B816" t="s">
        <v>1023</v>
      </c>
      <c r="C816">
        <v>76</v>
      </c>
      <c r="D816" t="s">
        <v>19</v>
      </c>
      <c r="E816" s="2">
        <v>45388</v>
      </c>
      <c r="F816" s="2">
        <v>45393</v>
      </c>
      <c r="G816" t="s">
        <v>14</v>
      </c>
      <c r="H816" t="s">
        <v>112</v>
      </c>
      <c r="I816" s="3">
        <v>11411.19</v>
      </c>
      <c r="J816" s="4">
        <v>70</v>
      </c>
      <c r="K816" t="s">
        <v>16</v>
      </c>
      <c r="L816" t="str" cm="1">
        <f t="array" ref="L816">_xlfn.IFS(C816&lt;18,"under 18",C816&lt;36,"btw 18 &amp; 35",C816&lt;51,"btw 36 &amp;50",C816&lt;66,"btw 51 &amp; 66",C816&gt;66,"66 &amp; above")</f>
        <v>66 &amp; above</v>
      </c>
      <c r="M816">
        <f t="shared" si="13"/>
        <v>5</v>
      </c>
    </row>
    <row r="817" spans="1:13" x14ac:dyDescent="0.25">
      <c r="A817" t="s">
        <v>1466</v>
      </c>
      <c r="B817" t="s">
        <v>1467</v>
      </c>
      <c r="C817">
        <v>80</v>
      </c>
      <c r="D817" t="s">
        <v>19</v>
      </c>
      <c r="E817" s="2">
        <v>45449</v>
      </c>
      <c r="F817" s="2">
        <v>45457</v>
      </c>
      <c r="G817" t="s">
        <v>71</v>
      </c>
      <c r="H817" t="s">
        <v>95</v>
      </c>
      <c r="I817" s="3">
        <v>18741.169999999998</v>
      </c>
      <c r="J817" s="4">
        <v>70</v>
      </c>
      <c r="K817" t="s">
        <v>16</v>
      </c>
      <c r="L817" t="str" cm="1">
        <f t="array" ref="L817">_xlfn.IFS(C817&lt;18,"under 18",C817&lt;36,"btw 18 &amp; 35",C817&lt;51,"btw 36 &amp;50",C817&lt;66,"btw 51 &amp; 66",C817&gt;66,"66 &amp; above")</f>
        <v>66 &amp; above</v>
      </c>
      <c r="M817">
        <f t="shared" si="13"/>
        <v>8</v>
      </c>
    </row>
    <row r="818" spans="1:13" x14ac:dyDescent="0.25">
      <c r="A818" t="s">
        <v>1468</v>
      </c>
      <c r="B818" t="s">
        <v>1358</v>
      </c>
      <c r="C818">
        <v>53</v>
      </c>
      <c r="D818" t="s">
        <v>19</v>
      </c>
      <c r="E818" s="2">
        <v>45541</v>
      </c>
      <c r="F818" s="2">
        <v>45543</v>
      </c>
      <c r="G818" t="s">
        <v>24</v>
      </c>
      <c r="H818" t="s">
        <v>29</v>
      </c>
      <c r="I818" s="3">
        <v>3602.24</v>
      </c>
      <c r="J818" s="4">
        <v>70</v>
      </c>
      <c r="K818" t="s">
        <v>16</v>
      </c>
      <c r="L818" t="str" cm="1">
        <f t="array" ref="L818">_xlfn.IFS(C818&lt;18,"under 18",C818&lt;36,"btw 18 &amp; 35",C818&lt;51,"btw 36 &amp;50",C818&lt;66,"btw 51 &amp; 66",C818&gt;66,"66 &amp; above")</f>
        <v>btw 51 &amp; 66</v>
      </c>
      <c r="M818">
        <f t="shared" si="13"/>
        <v>2</v>
      </c>
    </row>
    <row r="819" spans="1:13" x14ac:dyDescent="0.25">
      <c r="A819" t="s">
        <v>1469</v>
      </c>
      <c r="B819" t="s">
        <v>1470</v>
      </c>
      <c r="C819">
        <v>50</v>
      </c>
      <c r="D819" t="s">
        <v>19</v>
      </c>
      <c r="E819" s="2">
        <v>45609</v>
      </c>
      <c r="F819" s="2">
        <v>45611</v>
      </c>
      <c r="G819" t="s">
        <v>61</v>
      </c>
      <c r="H819" t="s">
        <v>75</v>
      </c>
      <c r="I819" s="3">
        <v>3967.17</v>
      </c>
      <c r="J819" s="4">
        <v>90</v>
      </c>
      <c r="K819" t="s">
        <v>16</v>
      </c>
      <c r="L819" t="str" cm="1">
        <f t="array" ref="L819">_xlfn.IFS(C819&lt;18,"under 18",C819&lt;36,"btw 18 &amp; 35",C819&lt;51,"btw 36 &amp;50",C819&lt;66,"btw 51 &amp; 66",C819&gt;66,"66 &amp; above")</f>
        <v>btw 36 &amp;50</v>
      </c>
      <c r="M819">
        <f t="shared" si="13"/>
        <v>2</v>
      </c>
    </row>
    <row r="820" spans="1:13" x14ac:dyDescent="0.25">
      <c r="A820" t="s">
        <v>1471</v>
      </c>
      <c r="B820" t="s">
        <v>1472</v>
      </c>
      <c r="C820">
        <v>30</v>
      </c>
      <c r="D820" t="s">
        <v>19</v>
      </c>
      <c r="E820" s="2">
        <v>45602</v>
      </c>
      <c r="F820" s="2">
        <v>45606</v>
      </c>
      <c r="G820" t="s">
        <v>61</v>
      </c>
      <c r="H820" t="s">
        <v>98</v>
      </c>
      <c r="I820" s="3">
        <v>5430.38</v>
      </c>
      <c r="J820" s="4">
        <v>80</v>
      </c>
      <c r="K820" t="s">
        <v>16</v>
      </c>
      <c r="L820" t="str" cm="1">
        <f t="array" ref="L820">_xlfn.IFS(C820&lt;18,"under 18",C820&lt;36,"btw 18 &amp; 35",C820&lt;51,"btw 36 &amp;50",C820&lt;66,"btw 51 &amp; 66",C820&gt;66,"66 &amp; above")</f>
        <v>btw 18 &amp; 35</v>
      </c>
      <c r="M820">
        <f t="shared" si="13"/>
        <v>4</v>
      </c>
    </row>
    <row r="821" spans="1:13" x14ac:dyDescent="0.25">
      <c r="A821" t="s">
        <v>1473</v>
      </c>
      <c r="B821" t="s">
        <v>857</v>
      </c>
      <c r="C821">
        <v>49</v>
      </c>
      <c r="D821" t="s">
        <v>19</v>
      </c>
      <c r="E821" s="2">
        <v>45588</v>
      </c>
      <c r="F821" s="2">
        <v>45594</v>
      </c>
      <c r="G821" t="s">
        <v>32</v>
      </c>
      <c r="H821" t="s">
        <v>36</v>
      </c>
      <c r="I821" s="3">
        <v>3153.91</v>
      </c>
      <c r="J821" s="4">
        <v>90</v>
      </c>
      <c r="K821" t="s">
        <v>16</v>
      </c>
      <c r="L821" t="str" cm="1">
        <f t="array" ref="L821">_xlfn.IFS(C821&lt;18,"under 18",C821&lt;36,"btw 18 &amp; 35",C821&lt;51,"btw 36 &amp;50",C821&lt;66,"btw 51 &amp; 66",C821&gt;66,"66 &amp; above")</f>
        <v>btw 36 &amp;50</v>
      </c>
      <c r="M821">
        <f t="shared" si="13"/>
        <v>6</v>
      </c>
    </row>
    <row r="822" spans="1:13" x14ac:dyDescent="0.25">
      <c r="A822" t="s">
        <v>1474</v>
      </c>
      <c r="B822" t="s">
        <v>1475</v>
      </c>
      <c r="C822">
        <v>32</v>
      </c>
      <c r="D822" t="s">
        <v>19</v>
      </c>
      <c r="E822" s="2">
        <v>45547</v>
      </c>
      <c r="F822" s="2">
        <v>45553</v>
      </c>
      <c r="G822" t="s">
        <v>32</v>
      </c>
      <c r="H822" t="s">
        <v>235</v>
      </c>
      <c r="I822" s="3">
        <v>4214.28</v>
      </c>
      <c r="J822" s="4">
        <v>80</v>
      </c>
      <c r="K822" t="s">
        <v>16</v>
      </c>
      <c r="L822" t="str" cm="1">
        <f t="array" ref="L822">_xlfn.IFS(C822&lt;18,"under 18",C822&lt;36,"btw 18 &amp; 35",C822&lt;51,"btw 36 &amp;50",C822&lt;66,"btw 51 &amp; 66",C822&gt;66,"66 &amp; above")</f>
        <v>btw 18 &amp; 35</v>
      </c>
      <c r="M822">
        <f t="shared" si="13"/>
        <v>6</v>
      </c>
    </row>
    <row r="823" spans="1:13" x14ac:dyDescent="0.25">
      <c r="A823" t="s">
        <v>1476</v>
      </c>
      <c r="B823" t="s">
        <v>821</v>
      </c>
      <c r="C823">
        <v>70</v>
      </c>
      <c r="D823" t="s">
        <v>13</v>
      </c>
      <c r="E823" s="2">
        <v>45947</v>
      </c>
      <c r="F823" s="2">
        <v>45950</v>
      </c>
      <c r="G823" t="s">
        <v>71</v>
      </c>
      <c r="H823" t="s">
        <v>195</v>
      </c>
      <c r="I823" s="3">
        <v>5898.39</v>
      </c>
      <c r="J823" s="4">
        <v>60</v>
      </c>
      <c r="K823" t="s">
        <v>21</v>
      </c>
      <c r="L823" t="str" cm="1">
        <f t="array" ref="L823">_xlfn.IFS(C823&lt;18,"under 18",C823&lt;36,"btw 18 &amp; 35",C823&lt;51,"btw 36 &amp;50",C823&lt;66,"btw 51 &amp; 66",C823&gt;66,"66 &amp; above")</f>
        <v>66 &amp; above</v>
      </c>
      <c r="M823">
        <f t="shared" si="13"/>
        <v>3</v>
      </c>
    </row>
    <row r="824" spans="1:13" x14ac:dyDescent="0.25">
      <c r="A824" t="s">
        <v>1477</v>
      </c>
      <c r="B824" t="s">
        <v>41</v>
      </c>
      <c r="C824">
        <v>35</v>
      </c>
      <c r="D824" t="s">
        <v>19</v>
      </c>
      <c r="E824" s="2">
        <v>45974</v>
      </c>
      <c r="F824" s="2">
        <v>45988</v>
      </c>
      <c r="G824" t="s">
        <v>61</v>
      </c>
      <c r="H824" t="s">
        <v>143</v>
      </c>
      <c r="I824" s="3">
        <v>32045.67</v>
      </c>
      <c r="J824" s="4">
        <v>80</v>
      </c>
      <c r="K824" t="s">
        <v>16</v>
      </c>
      <c r="L824" t="str" cm="1">
        <f t="array" ref="L824">_xlfn.IFS(C824&lt;18,"under 18",C824&lt;36,"btw 18 &amp; 35",C824&lt;51,"btw 36 &amp;50",C824&lt;66,"btw 51 &amp; 66",C824&gt;66,"66 &amp; above")</f>
        <v>btw 18 &amp; 35</v>
      </c>
      <c r="M824">
        <f t="shared" si="13"/>
        <v>14</v>
      </c>
    </row>
    <row r="825" spans="1:13" x14ac:dyDescent="0.25">
      <c r="A825" t="s">
        <v>1478</v>
      </c>
      <c r="B825" t="s">
        <v>1217</v>
      </c>
      <c r="C825">
        <v>77</v>
      </c>
      <c r="D825" t="s">
        <v>13</v>
      </c>
      <c r="E825" s="2">
        <v>45383</v>
      </c>
      <c r="F825" s="2">
        <v>45388</v>
      </c>
      <c r="G825" t="s">
        <v>71</v>
      </c>
      <c r="H825" t="s">
        <v>238</v>
      </c>
      <c r="I825" s="3">
        <v>11916.1</v>
      </c>
      <c r="J825" s="4">
        <v>90</v>
      </c>
      <c r="K825" t="s">
        <v>16</v>
      </c>
      <c r="L825" t="str" cm="1">
        <f t="array" ref="L825">_xlfn.IFS(C825&lt;18,"under 18",C825&lt;36,"btw 18 &amp; 35",C825&lt;51,"btw 36 &amp;50",C825&lt;66,"btw 51 &amp; 66",C825&gt;66,"66 &amp; above")</f>
        <v>66 &amp; above</v>
      </c>
      <c r="M825">
        <f t="shared" si="13"/>
        <v>5</v>
      </c>
    </row>
    <row r="826" spans="1:13" x14ac:dyDescent="0.25">
      <c r="A826" t="s">
        <v>1479</v>
      </c>
      <c r="B826" t="s">
        <v>1019</v>
      </c>
      <c r="C826">
        <v>26</v>
      </c>
      <c r="D826" t="s">
        <v>19</v>
      </c>
      <c r="E826" s="2">
        <v>45611</v>
      </c>
      <c r="F826" s="2">
        <v>45618</v>
      </c>
      <c r="G826" t="s">
        <v>32</v>
      </c>
      <c r="H826" t="s">
        <v>115</v>
      </c>
      <c r="I826" s="3">
        <v>5499.8</v>
      </c>
      <c r="J826" s="4">
        <v>80</v>
      </c>
      <c r="K826" t="s">
        <v>21</v>
      </c>
      <c r="L826" t="str" cm="1">
        <f t="array" ref="L826">_xlfn.IFS(C826&lt;18,"under 18",C826&lt;36,"btw 18 &amp; 35",C826&lt;51,"btw 36 &amp;50",C826&lt;66,"btw 51 &amp; 66",C826&gt;66,"66 &amp; above")</f>
        <v>btw 18 &amp; 35</v>
      </c>
      <c r="M826">
        <f t="shared" si="13"/>
        <v>7</v>
      </c>
    </row>
    <row r="827" spans="1:13" x14ac:dyDescent="0.25">
      <c r="A827" t="s">
        <v>1480</v>
      </c>
      <c r="B827" t="s">
        <v>923</v>
      </c>
      <c r="C827">
        <v>32</v>
      </c>
      <c r="D827" t="s">
        <v>13</v>
      </c>
      <c r="E827" s="2">
        <v>45973</v>
      </c>
      <c r="F827" s="2">
        <v>45978</v>
      </c>
      <c r="G827" t="s">
        <v>71</v>
      </c>
      <c r="H827" t="s">
        <v>95</v>
      </c>
      <c r="I827" s="3">
        <v>8755.16</v>
      </c>
      <c r="J827" s="4">
        <v>50</v>
      </c>
      <c r="K827" t="s">
        <v>16</v>
      </c>
      <c r="L827" t="str" cm="1">
        <f t="array" ref="L827">_xlfn.IFS(C827&lt;18,"under 18",C827&lt;36,"btw 18 &amp; 35",C827&lt;51,"btw 36 &amp;50",C827&lt;66,"btw 51 &amp; 66",C827&gt;66,"66 &amp; above")</f>
        <v>btw 18 &amp; 35</v>
      </c>
      <c r="M827">
        <f t="shared" si="13"/>
        <v>5</v>
      </c>
    </row>
    <row r="828" spans="1:13" x14ac:dyDescent="0.25">
      <c r="A828" t="s">
        <v>1481</v>
      </c>
      <c r="B828" t="s">
        <v>1482</v>
      </c>
      <c r="C828">
        <v>35</v>
      </c>
      <c r="D828" t="s">
        <v>13</v>
      </c>
      <c r="E828" s="2">
        <v>45664</v>
      </c>
      <c r="F828" s="2">
        <v>45669</v>
      </c>
      <c r="G828" t="s">
        <v>32</v>
      </c>
      <c r="H828" t="s">
        <v>115</v>
      </c>
      <c r="I828" s="3">
        <v>3252.83</v>
      </c>
      <c r="J828" s="4">
        <v>70</v>
      </c>
      <c r="K828" t="s">
        <v>26</v>
      </c>
      <c r="L828" t="str" cm="1">
        <f t="array" ref="L828">_xlfn.IFS(C828&lt;18,"under 18",C828&lt;36,"btw 18 &amp; 35",C828&lt;51,"btw 36 &amp;50",C828&lt;66,"btw 51 &amp; 66",C828&gt;66,"66 &amp; above")</f>
        <v>btw 18 &amp; 35</v>
      </c>
      <c r="M828">
        <f t="shared" si="13"/>
        <v>5</v>
      </c>
    </row>
    <row r="829" spans="1:13" x14ac:dyDescent="0.25">
      <c r="A829" t="s">
        <v>1483</v>
      </c>
      <c r="B829" t="s">
        <v>489</v>
      </c>
      <c r="C829">
        <v>52</v>
      </c>
      <c r="D829" t="s">
        <v>19</v>
      </c>
      <c r="E829" s="2">
        <v>45938</v>
      </c>
      <c r="F829" s="2">
        <v>45943</v>
      </c>
      <c r="G829" t="s">
        <v>61</v>
      </c>
      <c r="H829" t="s">
        <v>78</v>
      </c>
      <c r="I829" s="3">
        <v>12778.56</v>
      </c>
      <c r="J829" s="4">
        <v>80</v>
      </c>
      <c r="K829" t="s">
        <v>21</v>
      </c>
      <c r="L829" t="str" cm="1">
        <f t="array" ref="L829">_xlfn.IFS(C829&lt;18,"under 18",C829&lt;36,"btw 18 &amp; 35",C829&lt;51,"btw 36 &amp;50",C829&lt;66,"btw 51 &amp; 66",C829&gt;66,"66 &amp; above")</f>
        <v>btw 51 &amp; 66</v>
      </c>
      <c r="M829">
        <f t="shared" si="13"/>
        <v>5</v>
      </c>
    </row>
    <row r="830" spans="1:13" x14ac:dyDescent="0.25">
      <c r="A830" t="s">
        <v>1484</v>
      </c>
      <c r="B830" t="s">
        <v>257</v>
      </c>
      <c r="C830">
        <v>73</v>
      </c>
      <c r="D830" t="s">
        <v>13</v>
      </c>
      <c r="E830" s="2">
        <v>45973</v>
      </c>
      <c r="F830" s="2">
        <v>45985</v>
      </c>
      <c r="G830" t="s">
        <v>61</v>
      </c>
      <c r="H830" t="s">
        <v>75</v>
      </c>
      <c r="I830" s="3">
        <v>27830.62</v>
      </c>
      <c r="J830" s="4">
        <v>60</v>
      </c>
      <c r="K830" t="s">
        <v>21</v>
      </c>
      <c r="L830" t="str" cm="1">
        <f t="array" ref="L830">_xlfn.IFS(C830&lt;18,"under 18",C830&lt;36,"btw 18 &amp; 35",C830&lt;51,"btw 36 &amp;50",C830&lt;66,"btw 51 &amp; 66",C830&gt;66,"66 &amp; above")</f>
        <v>66 &amp; above</v>
      </c>
      <c r="M830">
        <f t="shared" si="13"/>
        <v>12</v>
      </c>
    </row>
    <row r="831" spans="1:13" x14ac:dyDescent="0.25">
      <c r="A831" t="s">
        <v>1485</v>
      </c>
      <c r="B831" t="s">
        <v>526</v>
      </c>
      <c r="C831">
        <v>5</v>
      </c>
      <c r="D831" t="s">
        <v>13</v>
      </c>
      <c r="E831" s="2">
        <v>45860</v>
      </c>
      <c r="F831" s="2">
        <v>45864</v>
      </c>
      <c r="G831" t="s">
        <v>50</v>
      </c>
      <c r="H831" t="s">
        <v>379</v>
      </c>
      <c r="I831" s="3">
        <v>4474.62</v>
      </c>
      <c r="J831" s="4">
        <v>100</v>
      </c>
      <c r="K831" t="s">
        <v>21</v>
      </c>
      <c r="L831" t="str" cm="1">
        <f t="array" ref="L831">_xlfn.IFS(C831&lt;18,"under 18",C831&lt;36,"btw 18 &amp; 35",C831&lt;51,"btw 36 &amp;50",C831&lt;66,"btw 51 &amp; 66",C831&gt;66,"66 &amp; above")</f>
        <v>under 18</v>
      </c>
      <c r="M831">
        <f t="shared" si="13"/>
        <v>4</v>
      </c>
    </row>
    <row r="832" spans="1:13" x14ac:dyDescent="0.25">
      <c r="A832" t="s">
        <v>1486</v>
      </c>
      <c r="B832" t="s">
        <v>1487</v>
      </c>
      <c r="C832">
        <v>13</v>
      </c>
      <c r="D832" t="s">
        <v>13</v>
      </c>
      <c r="E832" s="2">
        <v>45658</v>
      </c>
      <c r="F832" s="2">
        <v>45662</v>
      </c>
      <c r="G832" t="s">
        <v>50</v>
      </c>
      <c r="H832" t="s">
        <v>379</v>
      </c>
      <c r="I832" s="3">
        <v>3553.09</v>
      </c>
      <c r="J832" s="4">
        <v>60</v>
      </c>
      <c r="K832" t="s">
        <v>21</v>
      </c>
      <c r="L832" t="str" cm="1">
        <f t="array" ref="L832">_xlfn.IFS(C832&lt;18,"under 18",C832&lt;36,"btw 18 &amp; 35",C832&lt;51,"btw 36 &amp;50",C832&lt;66,"btw 51 &amp; 66",C832&gt;66,"66 &amp; above")</f>
        <v>under 18</v>
      </c>
      <c r="M832">
        <f t="shared" si="13"/>
        <v>4</v>
      </c>
    </row>
    <row r="833" spans="1:13" x14ac:dyDescent="0.25">
      <c r="A833" t="s">
        <v>1488</v>
      </c>
      <c r="B833" t="s">
        <v>1489</v>
      </c>
      <c r="C833">
        <v>16</v>
      </c>
      <c r="D833" t="s">
        <v>13</v>
      </c>
      <c r="E833" s="2">
        <v>45952</v>
      </c>
      <c r="F833" s="2">
        <v>45954</v>
      </c>
      <c r="G833" t="s">
        <v>50</v>
      </c>
      <c r="H833" t="s">
        <v>118</v>
      </c>
      <c r="I833" s="3">
        <v>2767.65</v>
      </c>
      <c r="J833" s="4">
        <v>70</v>
      </c>
      <c r="K833" t="s">
        <v>16</v>
      </c>
      <c r="L833" t="str" cm="1">
        <f t="array" ref="L833">_xlfn.IFS(C833&lt;18,"under 18",C833&lt;36,"btw 18 &amp; 35",C833&lt;51,"btw 36 &amp;50",C833&lt;66,"btw 51 &amp; 66",C833&gt;66,"66 &amp; above")</f>
        <v>under 18</v>
      </c>
      <c r="M833">
        <f t="shared" si="13"/>
        <v>2</v>
      </c>
    </row>
    <row r="834" spans="1:13" x14ac:dyDescent="0.25">
      <c r="A834" t="s">
        <v>1490</v>
      </c>
      <c r="B834" t="s">
        <v>673</v>
      </c>
      <c r="C834">
        <v>14</v>
      </c>
      <c r="D834" t="s">
        <v>13</v>
      </c>
      <c r="E834" s="2">
        <v>45452</v>
      </c>
      <c r="F834" s="2">
        <v>45454</v>
      </c>
      <c r="G834" t="s">
        <v>50</v>
      </c>
      <c r="H834" t="s">
        <v>51</v>
      </c>
      <c r="I834" s="3">
        <v>2721.43</v>
      </c>
      <c r="J834" s="4">
        <v>80</v>
      </c>
      <c r="K834" t="s">
        <v>16</v>
      </c>
      <c r="L834" t="str" cm="1">
        <f t="array" ref="L834">_xlfn.IFS(C834&lt;18,"under 18",C834&lt;36,"btw 18 &amp; 35",C834&lt;51,"btw 36 &amp;50",C834&lt;66,"btw 51 &amp; 66",C834&gt;66,"66 &amp; above")</f>
        <v>under 18</v>
      </c>
      <c r="M834">
        <f t="shared" si="13"/>
        <v>2</v>
      </c>
    </row>
    <row r="835" spans="1:13" x14ac:dyDescent="0.25">
      <c r="A835" t="s">
        <v>1491</v>
      </c>
      <c r="B835" t="s">
        <v>1492</v>
      </c>
      <c r="C835">
        <v>21</v>
      </c>
      <c r="D835" t="s">
        <v>19</v>
      </c>
      <c r="E835" s="2">
        <v>45573</v>
      </c>
      <c r="F835" s="2">
        <v>45576</v>
      </c>
      <c r="G835" t="s">
        <v>24</v>
      </c>
      <c r="H835" t="s">
        <v>205</v>
      </c>
      <c r="I835" s="3">
        <v>2887.15</v>
      </c>
      <c r="J835" s="4">
        <v>90</v>
      </c>
      <c r="K835" t="s">
        <v>26</v>
      </c>
      <c r="L835" t="str" cm="1">
        <f t="array" ref="L835">_xlfn.IFS(C835&lt;18,"under 18",C835&lt;36,"btw 18 &amp; 35",C835&lt;51,"btw 36 &amp;50",C835&lt;66,"btw 51 &amp; 66",C835&gt;66,"66 &amp; above")</f>
        <v>btw 18 &amp; 35</v>
      </c>
      <c r="M835">
        <f t="shared" ref="M835:M898" si="14">AVERAGE(F835-E835)</f>
        <v>3</v>
      </c>
    </row>
    <row r="836" spans="1:13" x14ac:dyDescent="0.25">
      <c r="A836" t="s">
        <v>1493</v>
      </c>
      <c r="B836" t="s">
        <v>1494</v>
      </c>
      <c r="C836">
        <v>29</v>
      </c>
      <c r="D836" t="s">
        <v>13</v>
      </c>
      <c r="E836" s="2">
        <v>45552</v>
      </c>
      <c r="F836" s="2">
        <v>45555</v>
      </c>
      <c r="G836" t="s">
        <v>24</v>
      </c>
      <c r="H836" t="s">
        <v>25</v>
      </c>
      <c r="I836" s="3">
        <v>7071.48</v>
      </c>
      <c r="J836" s="4">
        <v>80</v>
      </c>
      <c r="K836" t="s">
        <v>16</v>
      </c>
      <c r="L836" t="str" cm="1">
        <f t="array" ref="L836">_xlfn.IFS(C836&lt;18,"under 18",C836&lt;36,"btw 18 &amp; 35",C836&lt;51,"btw 36 &amp;50",C836&lt;66,"btw 51 &amp; 66",C836&gt;66,"66 &amp; above")</f>
        <v>btw 18 &amp; 35</v>
      </c>
      <c r="M836">
        <f t="shared" si="14"/>
        <v>3</v>
      </c>
    </row>
    <row r="837" spans="1:13" x14ac:dyDescent="0.25">
      <c r="A837" t="s">
        <v>1495</v>
      </c>
      <c r="B837" t="s">
        <v>1496</v>
      </c>
      <c r="C837">
        <v>72</v>
      </c>
      <c r="D837" t="s">
        <v>19</v>
      </c>
      <c r="E837" s="2">
        <v>45300</v>
      </c>
      <c r="F837" s="2">
        <v>45304</v>
      </c>
      <c r="G837" t="s">
        <v>14</v>
      </c>
      <c r="H837" t="s">
        <v>166</v>
      </c>
      <c r="I837" s="3">
        <v>8289.81</v>
      </c>
      <c r="J837" s="4">
        <v>80</v>
      </c>
      <c r="K837" t="s">
        <v>16</v>
      </c>
      <c r="L837" t="str" cm="1">
        <f t="array" ref="L837">_xlfn.IFS(C837&lt;18,"under 18",C837&lt;36,"btw 18 &amp; 35",C837&lt;51,"btw 36 &amp;50",C837&lt;66,"btw 51 &amp; 66",C837&gt;66,"66 &amp; above")</f>
        <v>66 &amp; above</v>
      </c>
      <c r="M837">
        <f t="shared" si="14"/>
        <v>4</v>
      </c>
    </row>
    <row r="838" spans="1:13" x14ac:dyDescent="0.25">
      <c r="A838" t="s">
        <v>1497</v>
      </c>
      <c r="B838" t="s">
        <v>528</v>
      </c>
      <c r="C838">
        <v>20</v>
      </c>
      <c r="D838" t="s">
        <v>19</v>
      </c>
      <c r="E838" s="2">
        <v>45844</v>
      </c>
      <c r="F838" s="2">
        <v>45847</v>
      </c>
      <c r="G838" t="s">
        <v>32</v>
      </c>
      <c r="H838" t="s">
        <v>115</v>
      </c>
      <c r="I838" s="3">
        <v>1605.53</v>
      </c>
      <c r="J838" s="4">
        <v>80</v>
      </c>
      <c r="K838" t="s">
        <v>16</v>
      </c>
      <c r="L838" t="str" cm="1">
        <f t="array" ref="L838">_xlfn.IFS(C838&lt;18,"under 18",C838&lt;36,"btw 18 &amp; 35",C838&lt;51,"btw 36 &amp;50",C838&lt;66,"btw 51 &amp; 66",C838&gt;66,"66 &amp; above")</f>
        <v>btw 18 &amp; 35</v>
      </c>
      <c r="M838">
        <f t="shared" si="14"/>
        <v>3</v>
      </c>
    </row>
    <row r="839" spans="1:13" x14ac:dyDescent="0.25">
      <c r="A839" t="s">
        <v>1498</v>
      </c>
      <c r="B839" t="s">
        <v>87</v>
      </c>
      <c r="C839">
        <v>26</v>
      </c>
      <c r="D839" t="s">
        <v>19</v>
      </c>
      <c r="E839" s="2">
        <v>45672</v>
      </c>
      <c r="F839" s="2">
        <v>45675</v>
      </c>
      <c r="G839" t="s">
        <v>32</v>
      </c>
      <c r="H839" t="s">
        <v>115</v>
      </c>
      <c r="I839" s="3">
        <v>3803.99</v>
      </c>
      <c r="J839" s="4">
        <v>50</v>
      </c>
      <c r="K839" t="s">
        <v>26</v>
      </c>
      <c r="L839" t="str" cm="1">
        <f t="array" ref="L839">_xlfn.IFS(C839&lt;18,"under 18",C839&lt;36,"btw 18 &amp; 35",C839&lt;51,"btw 36 &amp;50",C839&lt;66,"btw 51 &amp; 66",C839&gt;66,"66 &amp; above")</f>
        <v>btw 18 &amp; 35</v>
      </c>
      <c r="M839">
        <f t="shared" si="14"/>
        <v>3</v>
      </c>
    </row>
    <row r="840" spans="1:13" x14ac:dyDescent="0.25">
      <c r="A840" t="s">
        <v>1499</v>
      </c>
      <c r="B840" t="s">
        <v>1500</v>
      </c>
      <c r="C840">
        <v>41</v>
      </c>
      <c r="D840" t="s">
        <v>19</v>
      </c>
      <c r="E840" s="2">
        <v>45913</v>
      </c>
      <c r="F840" s="2">
        <v>45919</v>
      </c>
      <c r="G840" t="s">
        <v>61</v>
      </c>
      <c r="H840" t="s">
        <v>143</v>
      </c>
      <c r="I840" s="3">
        <v>11654.43</v>
      </c>
      <c r="J840" s="4">
        <v>0</v>
      </c>
      <c r="K840" t="s">
        <v>26</v>
      </c>
      <c r="L840" t="str" cm="1">
        <f t="array" ref="L840">_xlfn.IFS(C840&lt;18,"under 18",C840&lt;36,"btw 18 &amp; 35",C840&lt;51,"btw 36 &amp;50",C840&lt;66,"btw 51 &amp; 66",C840&gt;66,"66 &amp; above")</f>
        <v>btw 36 &amp;50</v>
      </c>
      <c r="M840">
        <f t="shared" si="14"/>
        <v>6</v>
      </c>
    </row>
    <row r="841" spans="1:13" x14ac:dyDescent="0.25">
      <c r="A841" t="s">
        <v>1501</v>
      </c>
      <c r="B841" t="s">
        <v>1502</v>
      </c>
      <c r="C841">
        <v>1</v>
      </c>
      <c r="D841" t="s">
        <v>13</v>
      </c>
      <c r="E841" s="2">
        <v>46004</v>
      </c>
      <c r="F841" s="2">
        <v>46006</v>
      </c>
      <c r="G841" t="s">
        <v>50</v>
      </c>
      <c r="H841" t="s">
        <v>131</v>
      </c>
      <c r="I841" s="3">
        <v>3542.96</v>
      </c>
      <c r="J841" s="4">
        <v>80</v>
      </c>
      <c r="K841" t="s">
        <v>26</v>
      </c>
      <c r="L841" t="str" cm="1">
        <f t="array" ref="L841">_xlfn.IFS(C841&lt;18,"under 18",C841&lt;36,"btw 18 &amp; 35",C841&lt;51,"btw 36 &amp;50",C841&lt;66,"btw 51 &amp; 66",C841&gt;66,"66 &amp; above")</f>
        <v>under 18</v>
      </c>
      <c r="M841">
        <f t="shared" si="14"/>
        <v>2</v>
      </c>
    </row>
    <row r="842" spans="1:13" x14ac:dyDescent="0.25">
      <c r="A842" t="s">
        <v>1503</v>
      </c>
      <c r="B842" t="s">
        <v>287</v>
      </c>
      <c r="C842">
        <v>1</v>
      </c>
      <c r="D842" t="s">
        <v>13</v>
      </c>
      <c r="E842" s="2">
        <v>45997</v>
      </c>
      <c r="F842" s="2">
        <v>46002</v>
      </c>
      <c r="G842" t="s">
        <v>50</v>
      </c>
      <c r="H842" t="s">
        <v>121</v>
      </c>
      <c r="I842" s="3">
        <v>6340.11</v>
      </c>
      <c r="J842" s="4">
        <v>70</v>
      </c>
      <c r="K842" t="s">
        <v>21</v>
      </c>
      <c r="L842" t="str" cm="1">
        <f t="array" ref="L842">_xlfn.IFS(C842&lt;18,"under 18",C842&lt;36,"btw 18 &amp; 35",C842&lt;51,"btw 36 &amp;50",C842&lt;66,"btw 51 &amp; 66",C842&gt;66,"66 &amp; above")</f>
        <v>under 18</v>
      </c>
      <c r="M842">
        <f t="shared" si="14"/>
        <v>5</v>
      </c>
    </row>
    <row r="843" spans="1:13" x14ac:dyDescent="0.25">
      <c r="A843" t="s">
        <v>1504</v>
      </c>
      <c r="B843" t="s">
        <v>1505</v>
      </c>
      <c r="C843">
        <v>31</v>
      </c>
      <c r="D843" t="s">
        <v>13</v>
      </c>
      <c r="E843" s="2">
        <v>45386</v>
      </c>
      <c r="F843" s="2">
        <v>45399</v>
      </c>
      <c r="G843" t="s">
        <v>61</v>
      </c>
      <c r="H843" t="s">
        <v>98</v>
      </c>
      <c r="I843" s="3">
        <v>33330.199999999997</v>
      </c>
      <c r="J843" s="4">
        <v>60</v>
      </c>
      <c r="K843" t="s">
        <v>16</v>
      </c>
      <c r="L843" t="str" cm="1">
        <f t="array" ref="L843">_xlfn.IFS(C843&lt;18,"under 18",C843&lt;36,"btw 18 &amp; 35",C843&lt;51,"btw 36 &amp;50",C843&lt;66,"btw 51 &amp; 66",C843&gt;66,"66 &amp; above")</f>
        <v>btw 18 &amp; 35</v>
      </c>
      <c r="M843">
        <f t="shared" si="14"/>
        <v>13</v>
      </c>
    </row>
    <row r="844" spans="1:13" x14ac:dyDescent="0.25">
      <c r="A844" t="s">
        <v>1506</v>
      </c>
      <c r="B844" t="s">
        <v>1108</v>
      </c>
      <c r="C844">
        <v>35</v>
      </c>
      <c r="D844" t="s">
        <v>19</v>
      </c>
      <c r="E844" s="2">
        <v>45649</v>
      </c>
      <c r="F844" s="2">
        <v>45652</v>
      </c>
      <c r="G844" t="s">
        <v>61</v>
      </c>
      <c r="H844" t="s">
        <v>78</v>
      </c>
      <c r="I844" s="3">
        <v>4622.9399999999996</v>
      </c>
      <c r="J844" s="4">
        <v>90</v>
      </c>
      <c r="K844" t="s">
        <v>16</v>
      </c>
      <c r="L844" t="str" cm="1">
        <f t="array" ref="L844">_xlfn.IFS(C844&lt;18,"under 18",C844&lt;36,"btw 18 &amp; 35",C844&lt;51,"btw 36 &amp;50",C844&lt;66,"btw 51 &amp; 66",C844&gt;66,"66 &amp; above")</f>
        <v>btw 18 &amp; 35</v>
      </c>
      <c r="M844">
        <f t="shared" si="14"/>
        <v>3</v>
      </c>
    </row>
    <row r="845" spans="1:13" x14ac:dyDescent="0.25">
      <c r="A845" t="s">
        <v>1507</v>
      </c>
      <c r="B845" t="s">
        <v>1508</v>
      </c>
      <c r="C845">
        <v>2</v>
      </c>
      <c r="D845" t="s">
        <v>13</v>
      </c>
      <c r="E845" s="2">
        <v>45472</v>
      </c>
      <c r="F845" s="2">
        <v>45477</v>
      </c>
      <c r="G845" t="s">
        <v>50</v>
      </c>
      <c r="H845" t="s">
        <v>124</v>
      </c>
      <c r="I845" s="3">
        <v>6314.88</v>
      </c>
      <c r="J845" s="4">
        <v>70</v>
      </c>
      <c r="K845" t="s">
        <v>16</v>
      </c>
      <c r="L845" t="str" cm="1">
        <f t="array" ref="L845">_xlfn.IFS(C845&lt;18,"under 18",C845&lt;36,"btw 18 &amp; 35",C845&lt;51,"btw 36 &amp;50",C845&lt;66,"btw 51 &amp; 66",C845&gt;66,"66 &amp; above")</f>
        <v>under 18</v>
      </c>
      <c r="M845">
        <f t="shared" si="14"/>
        <v>5</v>
      </c>
    </row>
    <row r="846" spans="1:13" x14ac:dyDescent="0.25">
      <c r="A846" t="s">
        <v>1509</v>
      </c>
      <c r="B846" t="s">
        <v>1510</v>
      </c>
      <c r="C846">
        <v>25</v>
      </c>
      <c r="D846" t="s">
        <v>13</v>
      </c>
      <c r="E846" s="2">
        <v>45409</v>
      </c>
      <c r="F846" s="2">
        <v>45423</v>
      </c>
      <c r="G846" t="s">
        <v>61</v>
      </c>
      <c r="H846" t="s">
        <v>98</v>
      </c>
      <c r="I846" s="3">
        <v>25971.47</v>
      </c>
      <c r="J846" s="4">
        <v>80</v>
      </c>
      <c r="K846" t="s">
        <v>21</v>
      </c>
      <c r="L846" t="str" cm="1">
        <f t="array" ref="L846">_xlfn.IFS(C846&lt;18,"under 18",C846&lt;36,"btw 18 &amp; 35",C846&lt;51,"btw 36 &amp;50",C846&lt;66,"btw 51 &amp; 66",C846&gt;66,"66 &amp; above")</f>
        <v>btw 18 &amp; 35</v>
      </c>
      <c r="M846">
        <f t="shared" si="14"/>
        <v>14</v>
      </c>
    </row>
    <row r="847" spans="1:13" x14ac:dyDescent="0.25">
      <c r="A847" t="s">
        <v>1511</v>
      </c>
      <c r="B847" t="s">
        <v>1342</v>
      </c>
      <c r="C847">
        <v>44</v>
      </c>
      <c r="D847" t="s">
        <v>19</v>
      </c>
      <c r="E847" s="2">
        <v>45346</v>
      </c>
      <c r="F847" s="2">
        <v>45351</v>
      </c>
      <c r="G847" t="s">
        <v>32</v>
      </c>
      <c r="H847" t="s">
        <v>235</v>
      </c>
      <c r="I847" s="3">
        <v>2926.43</v>
      </c>
      <c r="J847" s="4">
        <v>90</v>
      </c>
      <c r="K847" t="s">
        <v>16</v>
      </c>
      <c r="L847" t="str" cm="1">
        <f t="array" ref="L847">_xlfn.IFS(C847&lt;18,"under 18",C847&lt;36,"btw 18 &amp; 35",C847&lt;51,"btw 36 &amp;50",C847&lt;66,"btw 51 &amp; 66",C847&gt;66,"66 &amp; above")</f>
        <v>btw 36 &amp;50</v>
      </c>
      <c r="M847">
        <f t="shared" si="14"/>
        <v>5</v>
      </c>
    </row>
    <row r="848" spans="1:13" x14ac:dyDescent="0.25">
      <c r="A848" t="s">
        <v>1512</v>
      </c>
      <c r="B848" t="s">
        <v>1513</v>
      </c>
      <c r="C848">
        <v>39</v>
      </c>
      <c r="D848" t="s">
        <v>13</v>
      </c>
      <c r="E848" s="2">
        <v>45931</v>
      </c>
      <c r="F848" s="2">
        <v>45936</v>
      </c>
      <c r="G848" t="s">
        <v>32</v>
      </c>
      <c r="H848" t="s">
        <v>45</v>
      </c>
      <c r="I848" s="3">
        <v>6712.97</v>
      </c>
      <c r="J848" s="4">
        <v>80</v>
      </c>
      <c r="K848" t="s">
        <v>21</v>
      </c>
      <c r="L848" t="str" cm="1">
        <f t="array" ref="L848">_xlfn.IFS(C848&lt;18,"under 18",C848&lt;36,"btw 18 &amp; 35",C848&lt;51,"btw 36 &amp;50",C848&lt;66,"btw 51 &amp; 66",C848&gt;66,"66 &amp; above")</f>
        <v>btw 36 &amp;50</v>
      </c>
      <c r="M848">
        <f t="shared" si="14"/>
        <v>5</v>
      </c>
    </row>
    <row r="849" spans="1:13" x14ac:dyDescent="0.25">
      <c r="A849" t="s">
        <v>1514</v>
      </c>
      <c r="B849" t="s">
        <v>1456</v>
      </c>
      <c r="C849">
        <v>72</v>
      </c>
      <c r="D849" t="s">
        <v>19</v>
      </c>
      <c r="E849" s="2">
        <v>45539</v>
      </c>
      <c r="F849" s="2">
        <v>45542</v>
      </c>
      <c r="G849" t="s">
        <v>32</v>
      </c>
      <c r="H849" t="s">
        <v>36</v>
      </c>
      <c r="I849" s="3">
        <v>3235.11</v>
      </c>
      <c r="J849" s="4">
        <v>80</v>
      </c>
      <c r="K849" t="s">
        <v>16</v>
      </c>
      <c r="L849" t="str" cm="1">
        <f t="array" ref="L849">_xlfn.IFS(C849&lt;18,"under 18",C849&lt;36,"btw 18 &amp; 35",C849&lt;51,"btw 36 &amp;50",C849&lt;66,"btw 51 &amp; 66",C849&gt;66,"66 &amp; above")</f>
        <v>66 &amp; above</v>
      </c>
      <c r="M849">
        <f t="shared" si="14"/>
        <v>3</v>
      </c>
    </row>
    <row r="850" spans="1:13" x14ac:dyDescent="0.25">
      <c r="A850" t="s">
        <v>1515</v>
      </c>
      <c r="B850" t="s">
        <v>1516</v>
      </c>
      <c r="C850">
        <v>64</v>
      </c>
      <c r="D850" t="s">
        <v>13</v>
      </c>
      <c r="E850" s="2">
        <v>45969</v>
      </c>
      <c r="F850" s="2">
        <v>45970</v>
      </c>
      <c r="G850" t="s">
        <v>24</v>
      </c>
      <c r="H850" t="s">
        <v>42</v>
      </c>
      <c r="I850" s="3">
        <v>1023.76</v>
      </c>
      <c r="J850" s="4">
        <v>100</v>
      </c>
      <c r="K850" t="s">
        <v>16</v>
      </c>
      <c r="L850" t="str" cm="1">
        <f t="array" ref="L850">_xlfn.IFS(C850&lt;18,"under 18",C850&lt;36,"btw 18 &amp; 35",C850&lt;51,"btw 36 &amp;50",C850&lt;66,"btw 51 &amp; 66",C850&gt;66,"66 &amp; above")</f>
        <v>btw 51 &amp; 66</v>
      </c>
      <c r="M850">
        <f t="shared" si="14"/>
        <v>1</v>
      </c>
    </row>
    <row r="851" spans="1:13" x14ac:dyDescent="0.25">
      <c r="A851" t="s">
        <v>1517</v>
      </c>
      <c r="B851" t="s">
        <v>970</v>
      </c>
      <c r="C851">
        <v>15</v>
      </c>
      <c r="D851" t="s">
        <v>19</v>
      </c>
      <c r="E851" s="2">
        <v>45731</v>
      </c>
      <c r="F851" s="2">
        <v>45736</v>
      </c>
      <c r="G851" t="s">
        <v>50</v>
      </c>
      <c r="H851" t="s">
        <v>118</v>
      </c>
      <c r="I851" s="3">
        <v>3307.88</v>
      </c>
      <c r="J851" s="4">
        <v>80</v>
      </c>
      <c r="K851" t="s">
        <v>26</v>
      </c>
      <c r="L851" t="str" cm="1">
        <f t="array" ref="L851">_xlfn.IFS(C851&lt;18,"under 18",C851&lt;36,"btw 18 &amp; 35",C851&lt;51,"btw 36 &amp;50",C851&lt;66,"btw 51 &amp; 66",C851&gt;66,"66 &amp; above")</f>
        <v>under 18</v>
      </c>
      <c r="M851">
        <f t="shared" si="14"/>
        <v>5</v>
      </c>
    </row>
    <row r="852" spans="1:13" x14ac:dyDescent="0.25">
      <c r="A852" t="s">
        <v>1518</v>
      </c>
      <c r="B852" t="s">
        <v>1519</v>
      </c>
      <c r="C852">
        <v>1</v>
      </c>
      <c r="D852" t="s">
        <v>13</v>
      </c>
      <c r="E852" s="2">
        <v>45364</v>
      </c>
      <c r="F852" s="2">
        <v>45366</v>
      </c>
      <c r="G852" t="s">
        <v>50</v>
      </c>
      <c r="H852" t="s">
        <v>118</v>
      </c>
      <c r="I852" s="3">
        <v>2503.98</v>
      </c>
      <c r="J852" s="4">
        <v>50</v>
      </c>
      <c r="K852" t="s">
        <v>16</v>
      </c>
      <c r="L852" t="str" cm="1">
        <f t="array" ref="L852">_xlfn.IFS(C852&lt;18,"under 18",C852&lt;36,"btw 18 &amp; 35",C852&lt;51,"btw 36 &amp;50",C852&lt;66,"btw 51 &amp; 66",C852&gt;66,"66 &amp; above")</f>
        <v>under 18</v>
      </c>
      <c r="M852">
        <f t="shared" si="14"/>
        <v>2</v>
      </c>
    </row>
    <row r="853" spans="1:13" x14ac:dyDescent="0.25">
      <c r="A853" t="s">
        <v>1520</v>
      </c>
      <c r="B853" t="s">
        <v>1521</v>
      </c>
      <c r="C853">
        <v>36</v>
      </c>
      <c r="D853" t="s">
        <v>13</v>
      </c>
      <c r="E853" s="2">
        <v>45549</v>
      </c>
      <c r="F853" s="2">
        <v>45555</v>
      </c>
      <c r="G853" t="s">
        <v>61</v>
      </c>
      <c r="H853" t="s">
        <v>62</v>
      </c>
      <c r="I853" s="3">
        <v>9721.9</v>
      </c>
      <c r="J853" s="4">
        <v>0</v>
      </c>
      <c r="K853" t="s">
        <v>21</v>
      </c>
      <c r="L853" t="str" cm="1">
        <f t="array" ref="L853">_xlfn.IFS(C853&lt;18,"under 18",C853&lt;36,"btw 18 &amp; 35",C853&lt;51,"btw 36 &amp;50",C853&lt;66,"btw 51 &amp; 66",C853&gt;66,"66 &amp; above")</f>
        <v>btw 36 &amp;50</v>
      </c>
      <c r="M853">
        <f t="shared" si="14"/>
        <v>6</v>
      </c>
    </row>
    <row r="854" spans="1:13" x14ac:dyDescent="0.25">
      <c r="A854" t="s">
        <v>1522</v>
      </c>
      <c r="B854" t="s">
        <v>1523</v>
      </c>
      <c r="C854">
        <v>45</v>
      </c>
      <c r="D854" t="s">
        <v>13</v>
      </c>
      <c r="E854" s="2">
        <v>45772</v>
      </c>
      <c r="F854" s="2">
        <v>45779</v>
      </c>
      <c r="G854" t="s">
        <v>32</v>
      </c>
      <c r="H854" t="s">
        <v>33</v>
      </c>
      <c r="I854" s="3">
        <v>8925.93</v>
      </c>
      <c r="J854" s="4">
        <v>70</v>
      </c>
      <c r="K854" t="s">
        <v>26</v>
      </c>
      <c r="L854" t="str" cm="1">
        <f t="array" ref="L854">_xlfn.IFS(C854&lt;18,"under 18",C854&lt;36,"btw 18 &amp; 35",C854&lt;51,"btw 36 &amp;50",C854&lt;66,"btw 51 &amp; 66",C854&gt;66,"66 &amp; above")</f>
        <v>btw 36 &amp;50</v>
      </c>
      <c r="M854">
        <f t="shared" si="14"/>
        <v>7</v>
      </c>
    </row>
    <row r="855" spans="1:13" x14ac:dyDescent="0.25">
      <c r="A855" t="s">
        <v>1524</v>
      </c>
      <c r="B855" t="s">
        <v>1084</v>
      </c>
      <c r="C855">
        <v>31</v>
      </c>
      <c r="D855" t="s">
        <v>13</v>
      </c>
      <c r="E855" s="2">
        <v>45407</v>
      </c>
      <c r="F855" s="2">
        <v>45410</v>
      </c>
      <c r="G855" t="s">
        <v>32</v>
      </c>
      <c r="H855" t="s">
        <v>54</v>
      </c>
      <c r="I855" s="3">
        <v>2423.96</v>
      </c>
      <c r="J855" s="4">
        <v>90</v>
      </c>
      <c r="K855" t="s">
        <v>16</v>
      </c>
      <c r="L855" t="str" cm="1">
        <f t="array" ref="L855">_xlfn.IFS(C855&lt;18,"under 18",C855&lt;36,"btw 18 &amp; 35",C855&lt;51,"btw 36 &amp;50",C855&lt;66,"btw 51 &amp; 66",C855&gt;66,"66 &amp; above")</f>
        <v>btw 18 &amp; 35</v>
      </c>
      <c r="M855">
        <f t="shared" si="14"/>
        <v>3</v>
      </c>
    </row>
    <row r="856" spans="1:13" x14ac:dyDescent="0.25">
      <c r="A856" t="s">
        <v>1525</v>
      </c>
      <c r="B856" t="s">
        <v>1526</v>
      </c>
      <c r="C856">
        <v>77</v>
      </c>
      <c r="D856" t="s">
        <v>19</v>
      </c>
      <c r="E856" s="2">
        <v>45612</v>
      </c>
      <c r="F856" s="2">
        <v>45618</v>
      </c>
      <c r="G856" t="s">
        <v>32</v>
      </c>
      <c r="H856" t="s">
        <v>36</v>
      </c>
      <c r="I856" s="3">
        <v>4453.26</v>
      </c>
      <c r="J856" s="4">
        <v>60</v>
      </c>
      <c r="K856" t="s">
        <v>21</v>
      </c>
      <c r="L856" t="str" cm="1">
        <f t="array" ref="L856">_xlfn.IFS(C856&lt;18,"under 18",C856&lt;36,"btw 18 &amp; 35",C856&lt;51,"btw 36 &amp;50",C856&lt;66,"btw 51 &amp; 66",C856&gt;66,"66 &amp; above")</f>
        <v>66 &amp; above</v>
      </c>
      <c r="M856">
        <f t="shared" si="14"/>
        <v>6</v>
      </c>
    </row>
    <row r="857" spans="1:13" x14ac:dyDescent="0.25">
      <c r="A857" t="s">
        <v>1527</v>
      </c>
      <c r="B857" t="s">
        <v>291</v>
      </c>
      <c r="C857">
        <v>78</v>
      </c>
      <c r="D857" t="s">
        <v>13</v>
      </c>
      <c r="E857" s="2">
        <v>45547</v>
      </c>
      <c r="F857" s="2">
        <v>45550</v>
      </c>
      <c r="G857" t="s">
        <v>71</v>
      </c>
      <c r="H857" t="s">
        <v>158</v>
      </c>
      <c r="I857" s="3">
        <v>4774.57</v>
      </c>
      <c r="J857" s="4">
        <v>90</v>
      </c>
      <c r="K857" t="s">
        <v>16</v>
      </c>
      <c r="L857" t="str" cm="1">
        <f t="array" ref="L857">_xlfn.IFS(C857&lt;18,"under 18",C857&lt;36,"btw 18 &amp; 35",C857&lt;51,"btw 36 &amp;50",C857&lt;66,"btw 51 &amp; 66",C857&gt;66,"66 &amp; above")</f>
        <v>66 &amp; above</v>
      </c>
      <c r="M857">
        <f t="shared" si="14"/>
        <v>3</v>
      </c>
    </row>
    <row r="858" spans="1:13" x14ac:dyDescent="0.25">
      <c r="A858" t="s">
        <v>1528</v>
      </c>
      <c r="B858" t="s">
        <v>1090</v>
      </c>
      <c r="C858">
        <v>31</v>
      </c>
      <c r="D858" t="s">
        <v>19</v>
      </c>
      <c r="E858" s="2">
        <v>45382</v>
      </c>
      <c r="F858" s="2">
        <v>45385</v>
      </c>
      <c r="G858" t="s">
        <v>24</v>
      </c>
      <c r="H858" t="s">
        <v>42</v>
      </c>
      <c r="I858" s="3">
        <v>3412</v>
      </c>
      <c r="J858" s="4">
        <v>100</v>
      </c>
      <c r="K858" t="s">
        <v>16</v>
      </c>
      <c r="L858" t="str" cm="1">
        <f t="array" ref="L858">_xlfn.IFS(C858&lt;18,"under 18",C858&lt;36,"btw 18 &amp; 35",C858&lt;51,"btw 36 &amp;50",C858&lt;66,"btw 51 &amp; 66",C858&gt;66,"66 &amp; above")</f>
        <v>btw 18 &amp; 35</v>
      </c>
      <c r="M858">
        <f t="shared" si="14"/>
        <v>3</v>
      </c>
    </row>
    <row r="859" spans="1:13" x14ac:dyDescent="0.25">
      <c r="A859" t="s">
        <v>1529</v>
      </c>
      <c r="B859" t="s">
        <v>671</v>
      </c>
      <c r="C859">
        <v>51</v>
      </c>
      <c r="D859" t="s">
        <v>19</v>
      </c>
      <c r="E859" s="2">
        <v>45576</v>
      </c>
      <c r="F859" s="2">
        <v>45577</v>
      </c>
      <c r="G859" t="s">
        <v>32</v>
      </c>
      <c r="H859" t="s">
        <v>54</v>
      </c>
      <c r="I859" s="3">
        <v>1093.33</v>
      </c>
      <c r="J859" s="4">
        <v>80</v>
      </c>
      <c r="K859" t="s">
        <v>16</v>
      </c>
      <c r="L859" t="str" cm="1">
        <f t="array" ref="L859">_xlfn.IFS(C859&lt;18,"under 18",C859&lt;36,"btw 18 &amp; 35",C859&lt;51,"btw 36 &amp;50",C859&lt;66,"btw 51 &amp; 66",C859&gt;66,"66 &amp; above")</f>
        <v>btw 51 &amp; 66</v>
      </c>
      <c r="M859">
        <f t="shared" si="14"/>
        <v>1</v>
      </c>
    </row>
    <row r="860" spans="1:13" x14ac:dyDescent="0.25">
      <c r="A860" t="s">
        <v>1530</v>
      </c>
      <c r="B860" t="s">
        <v>1531</v>
      </c>
      <c r="C860">
        <v>3</v>
      </c>
      <c r="D860" t="s">
        <v>19</v>
      </c>
      <c r="E860" s="2">
        <v>45964</v>
      </c>
      <c r="F860" s="2">
        <v>45968</v>
      </c>
      <c r="G860" t="s">
        <v>50</v>
      </c>
      <c r="H860" t="s">
        <v>51</v>
      </c>
      <c r="I860" s="3">
        <v>5111.21</v>
      </c>
      <c r="J860" s="4">
        <v>100</v>
      </c>
      <c r="K860" t="s">
        <v>16</v>
      </c>
      <c r="L860" t="str" cm="1">
        <f t="array" ref="L860">_xlfn.IFS(C860&lt;18,"under 18",C860&lt;36,"btw 18 &amp; 35",C860&lt;51,"btw 36 &amp;50",C860&lt;66,"btw 51 &amp; 66",C860&gt;66,"66 &amp; above")</f>
        <v>under 18</v>
      </c>
      <c r="M860">
        <f t="shared" si="14"/>
        <v>4</v>
      </c>
    </row>
    <row r="861" spans="1:13" x14ac:dyDescent="0.25">
      <c r="A861" t="s">
        <v>1532</v>
      </c>
      <c r="B861" t="s">
        <v>1533</v>
      </c>
      <c r="C861">
        <v>75</v>
      </c>
      <c r="D861" t="s">
        <v>13</v>
      </c>
      <c r="E861" s="2">
        <v>45717</v>
      </c>
      <c r="F861" s="2">
        <v>45723</v>
      </c>
      <c r="G861" t="s">
        <v>32</v>
      </c>
      <c r="H861" t="s">
        <v>45</v>
      </c>
      <c r="I861" s="3">
        <v>5375.85</v>
      </c>
      <c r="J861" s="4">
        <v>70</v>
      </c>
      <c r="K861" t="s">
        <v>16</v>
      </c>
      <c r="L861" t="str" cm="1">
        <f t="array" ref="L861">_xlfn.IFS(C861&lt;18,"under 18",C861&lt;36,"btw 18 &amp; 35",C861&lt;51,"btw 36 &amp;50",C861&lt;66,"btw 51 &amp; 66",C861&gt;66,"66 &amp; above")</f>
        <v>66 &amp; above</v>
      </c>
      <c r="M861">
        <f t="shared" si="14"/>
        <v>6</v>
      </c>
    </row>
    <row r="862" spans="1:13" x14ac:dyDescent="0.25">
      <c r="A862" t="s">
        <v>1534</v>
      </c>
      <c r="B862" t="s">
        <v>1535</v>
      </c>
      <c r="C862">
        <v>55</v>
      </c>
      <c r="D862" t="s">
        <v>13</v>
      </c>
      <c r="E862" s="2">
        <v>45494</v>
      </c>
      <c r="F862" s="2">
        <v>45498</v>
      </c>
      <c r="G862" t="s">
        <v>61</v>
      </c>
      <c r="H862" t="s">
        <v>62</v>
      </c>
      <c r="I862" s="3">
        <v>9604.6200000000008</v>
      </c>
      <c r="J862" s="4">
        <v>100</v>
      </c>
      <c r="K862" t="s">
        <v>21</v>
      </c>
      <c r="L862" t="str" cm="1">
        <f t="array" ref="L862">_xlfn.IFS(C862&lt;18,"under 18",C862&lt;36,"btw 18 &amp; 35",C862&lt;51,"btw 36 &amp;50",C862&lt;66,"btw 51 &amp; 66",C862&gt;66,"66 &amp; above")</f>
        <v>btw 51 &amp; 66</v>
      </c>
      <c r="M862">
        <f t="shared" si="14"/>
        <v>4</v>
      </c>
    </row>
    <row r="863" spans="1:13" x14ac:dyDescent="0.25">
      <c r="A863" t="s">
        <v>1536</v>
      </c>
      <c r="B863" t="s">
        <v>1537</v>
      </c>
      <c r="C863">
        <v>51</v>
      </c>
      <c r="D863" t="s">
        <v>19</v>
      </c>
      <c r="E863" s="2">
        <v>45633</v>
      </c>
      <c r="F863" s="2">
        <v>45640</v>
      </c>
      <c r="G863" t="s">
        <v>32</v>
      </c>
      <c r="H863" t="s">
        <v>235</v>
      </c>
      <c r="I863" s="3">
        <v>8806.14</v>
      </c>
      <c r="J863" s="4">
        <v>70</v>
      </c>
      <c r="K863" t="s">
        <v>16</v>
      </c>
      <c r="L863" t="str" cm="1">
        <f t="array" ref="L863">_xlfn.IFS(C863&lt;18,"under 18",C863&lt;36,"btw 18 &amp; 35",C863&lt;51,"btw 36 &amp;50",C863&lt;66,"btw 51 &amp; 66",C863&gt;66,"66 &amp; above")</f>
        <v>btw 51 &amp; 66</v>
      </c>
      <c r="M863">
        <f t="shared" si="14"/>
        <v>7</v>
      </c>
    </row>
    <row r="864" spans="1:13" x14ac:dyDescent="0.25">
      <c r="A864" t="s">
        <v>1538</v>
      </c>
      <c r="B864" t="s">
        <v>1539</v>
      </c>
      <c r="C864">
        <v>20</v>
      </c>
      <c r="D864" t="s">
        <v>19</v>
      </c>
      <c r="E864" s="2">
        <v>45686</v>
      </c>
      <c r="F864" s="2">
        <v>45688</v>
      </c>
      <c r="G864" t="s">
        <v>24</v>
      </c>
      <c r="H864" t="s">
        <v>222</v>
      </c>
      <c r="I864" s="3">
        <v>3945.82</v>
      </c>
      <c r="J864" s="4">
        <v>80</v>
      </c>
      <c r="K864" t="s">
        <v>16</v>
      </c>
      <c r="L864" t="str" cm="1">
        <f t="array" ref="L864">_xlfn.IFS(C864&lt;18,"under 18",C864&lt;36,"btw 18 &amp; 35",C864&lt;51,"btw 36 &amp;50",C864&lt;66,"btw 51 &amp; 66",C864&gt;66,"66 &amp; above")</f>
        <v>btw 18 &amp; 35</v>
      </c>
      <c r="M864">
        <f t="shared" si="14"/>
        <v>2</v>
      </c>
    </row>
    <row r="865" spans="1:13" x14ac:dyDescent="0.25">
      <c r="A865" t="s">
        <v>1540</v>
      </c>
      <c r="B865" t="s">
        <v>1541</v>
      </c>
      <c r="C865">
        <v>33</v>
      </c>
      <c r="D865" t="s">
        <v>19</v>
      </c>
      <c r="E865" s="2">
        <v>45884</v>
      </c>
      <c r="F865" s="2">
        <v>45885</v>
      </c>
      <c r="G865" t="s">
        <v>24</v>
      </c>
      <c r="H865" t="s">
        <v>205</v>
      </c>
      <c r="I865" s="3">
        <v>2303.3000000000002</v>
      </c>
      <c r="J865" s="4">
        <v>80</v>
      </c>
      <c r="K865" t="s">
        <v>16</v>
      </c>
      <c r="L865" t="str" cm="1">
        <f t="array" ref="L865">_xlfn.IFS(C865&lt;18,"under 18",C865&lt;36,"btw 18 &amp; 35",C865&lt;51,"btw 36 &amp;50",C865&lt;66,"btw 51 &amp; 66",C865&gt;66,"66 &amp; above")</f>
        <v>btw 18 &amp; 35</v>
      </c>
      <c r="M865">
        <f t="shared" si="14"/>
        <v>1</v>
      </c>
    </row>
    <row r="866" spans="1:13" x14ac:dyDescent="0.25">
      <c r="A866" t="s">
        <v>1542</v>
      </c>
      <c r="B866" t="s">
        <v>49</v>
      </c>
      <c r="C866">
        <v>9</v>
      </c>
      <c r="D866" t="s">
        <v>13</v>
      </c>
      <c r="E866" s="2">
        <v>45814</v>
      </c>
      <c r="F866" s="2">
        <v>45815</v>
      </c>
      <c r="G866" t="s">
        <v>50</v>
      </c>
      <c r="H866" t="s">
        <v>121</v>
      </c>
      <c r="I866" s="3">
        <v>1534.49</v>
      </c>
      <c r="J866" s="4">
        <v>80</v>
      </c>
      <c r="K866" t="s">
        <v>16</v>
      </c>
      <c r="L866" t="str" cm="1">
        <f t="array" ref="L866">_xlfn.IFS(C866&lt;18,"under 18",C866&lt;36,"btw 18 &amp; 35",C866&lt;51,"btw 36 &amp;50",C866&lt;66,"btw 51 &amp; 66",C866&gt;66,"66 &amp; above")</f>
        <v>under 18</v>
      </c>
      <c r="M866">
        <f t="shared" si="14"/>
        <v>1</v>
      </c>
    </row>
    <row r="867" spans="1:13" x14ac:dyDescent="0.25">
      <c r="A867" t="s">
        <v>1543</v>
      </c>
      <c r="B867" t="s">
        <v>1544</v>
      </c>
      <c r="C867">
        <v>27</v>
      </c>
      <c r="D867" t="s">
        <v>13</v>
      </c>
      <c r="E867" s="2">
        <v>45349</v>
      </c>
      <c r="F867" s="2">
        <v>45350</v>
      </c>
      <c r="G867" t="s">
        <v>32</v>
      </c>
      <c r="H867" t="s">
        <v>88</v>
      </c>
      <c r="I867" s="3">
        <v>1353.93</v>
      </c>
      <c r="J867" s="4">
        <v>80</v>
      </c>
      <c r="K867" t="s">
        <v>16</v>
      </c>
      <c r="L867" t="str" cm="1">
        <f t="array" ref="L867">_xlfn.IFS(C867&lt;18,"under 18",C867&lt;36,"btw 18 &amp; 35",C867&lt;51,"btw 36 &amp;50",C867&lt;66,"btw 51 &amp; 66",C867&gt;66,"66 &amp; above")</f>
        <v>btw 18 &amp; 35</v>
      </c>
      <c r="M867">
        <f t="shared" si="14"/>
        <v>1</v>
      </c>
    </row>
    <row r="868" spans="1:13" x14ac:dyDescent="0.25">
      <c r="A868" t="s">
        <v>1545</v>
      </c>
      <c r="B868" t="s">
        <v>1546</v>
      </c>
      <c r="C868">
        <v>70</v>
      </c>
      <c r="D868" t="s">
        <v>19</v>
      </c>
      <c r="E868" s="2">
        <v>45422</v>
      </c>
      <c r="F868" s="2">
        <v>45428</v>
      </c>
      <c r="G868" t="s">
        <v>14</v>
      </c>
      <c r="H868" t="s">
        <v>166</v>
      </c>
      <c r="I868" s="3">
        <v>12898.02</v>
      </c>
      <c r="J868" s="4">
        <v>50</v>
      </c>
      <c r="K868" t="s">
        <v>21</v>
      </c>
      <c r="L868" t="str" cm="1">
        <f t="array" ref="L868">_xlfn.IFS(C868&lt;18,"under 18",C868&lt;36,"btw 18 &amp; 35",C868&lt;51,"btw 36 &amp;50",C868&lt;66,"btw 51 &amp; 66",C868&gt;66,"66 &amp; above")</f>
        <v>66 &amp; above</v>
      </c>
      <c r="M868">
        <f t="shared" si="14"/>
        <v>6</v>
      </c>
    </row>
    <row r="869" spans="1:13" x14ac:dyDescent="0.25">
      <c r="A869" t="s">
        <v>1547</v>
      </c>
      <c r="B869" t="s">
        <v>1548</v>
      </c>
      <c r="C869">
        <v>62</v>
      </c>
      <c r="D869" t="s">
        <v>19</v>
      </c>
      <c r="E869" s="2">
        <v>45420</v>
      </c>
      <c r="F869" s="2">
        <v>45424</v>
      </c>
      <c r="G869" t="s">
        <v>32</v>
      </c>
      <c r="H869" t="s">
        <v>54</v>
      </c>
      <c r="I869" s="3">
        <v>4833.0200000000004</v>
      </c>
      <c r="J869" s="4">
        <v>70</v>
      </c>
      <c r="K869" t="s">
        <v>26</v>
      </c>
      <c r="L869" t="str" cm="1">
        <f t="array" ref="L869">_xlfn.IFS(C869&lt;18,"under 18",C869&lt;36,"btw 18 &amp; 35",C869&lt;51,"btw 36 &amp;50",C869&lt;66,"btw 51 &amp; 66",C869&gt;66,"66 &amp; above")</f>
        <v>btw 51 &amp; 66</v>
      </c>
      <c r="M869">
        <f t="shared" si="14"/>
        <v>4</v>
      </c>
    </row>
    <row r="870" spans="1:13" x14ac:dyDescent="0.25">
      <c r="A870" t="s">
        <v>1549</v>
      </c>
      <c r="B870" t="s">
        <v>574</v>
      </c>
      <c r="C870">
        <v>42</v>
      </c>
      <c r="D870" t="s">
        <v>13</v>
      </c>
      <c r="E870" s="2">
        <v>45619</v>
      </c>
      <c r="F870" s="2">
        <v>45622</v>
      </c>
      <c r="G870" t="s">
        <v>61</v>
      </c>
      <c r="H870" t="s">
        <v>143</v>
      </c>
      <c r="I870" s="3">
        <v>3132.44</v>
      </c>
      <c r="J870" s="4">
        <v>80</v>
      </c>
      <c r="K870" t="s">
        <v>16</v>
      </c>
      <c r="L870" t="str" cm="1">
        <f t="array" ref="L870">_xlfn.IFS(C870&lt;18,"under 18",C870&lt;36,"btw 18 &amp; 35",C870&lt;51,"btw 36 &amp;50",C870&lt;66,"btw 51 &amp; 66",C870&gt;66,"66 &amp; above")</f>
        <v>btw 36 &amp;50</v>
      </c>
      <c r="M870">
        <f t="shared" si="14"/>
        <v>3</v>
      </c>
    </row>
    <row r="871" spans="1:13" x14ac:dyDescent="0.25">
      <c r="A871" t="s">
        <v>1550</v>
      </c>
      <c r="B871" t="s">
        <v>1551</v>
      </c>
      <c r="C871">
        <v>60</v>
      </c>
      <c r="D871" t="s">
        <v>13</v>
      </c>
      <c r="E871" s="2">
        <v>45791</v>
      </c>
      <c r="F871" s="2">
        <v>45798</v>
      </c>
      <c r="G871" t="s">
        <v>71</v>
      </c>
      <c r="H871" t="s">
        <v>158</v>
      </c>
      <c r="I871" s="3">
        <v>9720.49</v>
      </c>
      <c r="J871" s="4">
        <v>90</v>
      </c>
      <c r="K871" t="s">
        <v>21</v>
      </c>
      <c r="L871" t="str" cm="1">
        <f t="array" ref="L871">_xlfn.IFS(C871&lt;18,"under 18",C871&lt;36,"btw 18 &amp; 35",C871&lt;51,"btw 36 &amp;50",C871&lt;66,"btw 51 &amp; 66",C871&gt;66,"66 &amp; above")</f>
        <v>btw 51 &amp; 66</v>
      </c>
      <c r="M871">
        <f t="shared" si="14"/>
        <v>7</v>
      </c>
    </row>
    <row r="872" spans="1:13" x14ac:dyDescent="0.25">
      <c r="A872" t="s">
        <v>1552</v>
      </c>
      <c r="B872" t="s">
        <v>849</v>
      </c>
      <c r="C872">
        <v>16</v>
      </c>
      <c r="D872" t="s">
        <v>19</v>
      </c>
      <c r="E872" s="2">
        <v>45682</v>
      </c>
      <c r="F872" s="2">
        <v>45685</v>
      </c>
      <c r="G872" t="s">
        <v>50</v>
      </c>
      <c r="H872" t="s">
        <v>51</v>
      </c>
      <c r="I872" s="3">
        <v>3754.13</v>
      </c>
      <c r="J872" s="4">
        <v>80</v>
      </c>
      <c r="K872" t="s">
        <v>16</v>
      </c>
      <c r="L872" t="str" cm="1">
        <f t="array" ref="L872">_xlfn.IFS(C872&lt;18,"under 18",C872&lt;36,"btw 18 &amp; 35",C872&lt;51,"btw 36 &amp;50",C872&lt;66,"btw 51 &amp; 66",C872&gt;66,"66 &amp; above")</f>
        <v>under 18</v>
      </c>
      <c r="M872">
        <f t="shared" si="14"/>
        <v>3</v>
      </c>
    </row>
    <row r="873" spans="1:13" x14ac:dyDescent="0.25">
      <c r="A873" t="s">
        <v>1553</v>
      </c>
      <c r="B873" t="s">
        <v>1313</v>
      </c>
      <c r="C873">
        <v>34</v>
      </c>
      <c r="D873" t="s">
        <v>13</v>
      </c>
      <c r="E873" s="2">
        <v>45569</v>
      </c>
      <c r="F873" s="2">
        <v>45573</v>
      </c>
      <c r="G873" t="s">
        <v>32</v>
      </c>
      <c r="H873" t="s">
        <v>45</v>
      </c>
      <c r="I873" s="3">
        <v>5762.53</v>
      </c>
      <c r="J873" s="4">
        <v>90</v>
      </c>
      <c r="K873" t="s">
        <v>16</v>
      </c>
      <c r="L873" t="str" cm="1">
        <f t="array" ref="L873">_xlfn.IFS(C873&lt;18,"under 18",C873&lt;36,"btw 18 &amp; 35",C873&lt;51,"btw 36 &amp;50",C873&lt;66,"btw 51 &amp; 66",C873&gt;66,"66 &amp; above")</f>
        <v>btw 18 &amp; 35</v>
      </c>
      <c r="M873">
        <f t="shared" si="14"/>
        <v>4</v>
      </c>
    </row>
    <row r="874" spans="1:13" x14ac:dyDescent="0.25">
      <c r="A874" t="s">
        <v>1554</v>
      </c>
      <c r="B874" t="s">
        <v>1555</v>
      </c>
      <c r="C874">
        <v>79</v>
      </c>
      <c r="D874" t="s">
        <v>13</v>
      </c>
      <c r="E874" s="2">
        <v>45968</v>
      </c>
      <c r="F874" s="2">
        <v>45969</v>
      </c>
      <c r="G874" t="s">
        <v>32</v>
      </c>
      <c r="H874" t="s">
        <v>115</v>
      </c>
      <c r="I874" s="3">
        <v>808.56</v>
      </c>
      <c r="J874" s="4">
        <v>70</v>
      </c>
      <c r="K874" t="s">
        <v>16</v>
      </c>
      <c r="L874" t="str" cm="1">
        <f t="array" ref="L874">_xlfn.IFS(C874&lt;18,"under 18",C874&lt;36,"btw 18 &amp; 35",C874&lt;51,"btw 36 &amp;50",C874&lt;66,"btw 51 &amp; 66",C874&gt;66,"66 &amp; above")</f>
        <v>66 &amp; above</v>
      </c>
      <c r="M874">
        <f t="shared" si="14"/>
        <v>1</v>
      </c>
    </row>
    <row r="875" spans="1:13" x14ac:dyDescent="0.25">
      <c r="A875" t="s">
        <v>1556</v>
      </c>
      <c r="B875" t="s">
        <v>1557</v>
      </c>
      <c r="C875">
        <v>64</v>
      </c>
      <c r="D875" t="s">
        <v>19</v>
      </c>
      <c r="E875" s="2">
        <v>45973</v>
      </c>
      <c r="F875" s="2">
        <v>45981</v>
      </c>
      <c r="G875" t="s">
        <v>14</v>
      </c>
      <c r="H875" t="s">
        <v>39</v>
      </c>
      <c r="I875" s="3">
        <v>15637.55</v>
      </c>
      <c r="J875" s="4">
        <v>90</v>
      </c>
      <c r="K875" t="s">
        <v>16</v>
      </c>
      <c r="L875" t="str" cm="1">
        <f t="array" ref="L875">_xlfn.IFS(C875&lt;18,"under 18",C875&lt;36,"btw 18 &amp; 35",C875&lt;51,"btw 36 &amp;50",C875&lt;66,"btw 51 &amp; 66",C875&gt;66,"66 &amp; above")</f>
        <v>btw 51 &amp; 66</v>
      </c>
      <c r="M875">
        <f t="shared" si="14"/>
        <v>8</v>
      </c>
    </row>
    <row r="876" spans="1:13" x14ac:dyDescent="0.25">
      <c r="A876" t="s">
        <v>1558</v>
      </c>
      <c r="B876" t="s">
        <v>1023</v>
      </c>
      <c r="C876">
        <v>58</v>
      </c>
      <c r="D876" t="s">
        <v>19</v>
      </c>
      <c r="E876" s="2">
        <v>45722</v>
      </c>
      <c r="F876" s="2">
        <v>45724</v>
      </c>
      <c r="G876" t="s">
        <v>24</v>
      </c>
      <c r="H876" t="s">
        <v>42</v>
      </c>
      <c r="I876" s="3">
        <v>4011.18</v>
      </c>
      <c r="J876" s="4">
        <v>90</v>
      </c>
      <c r="K876" t="s">
        <v>16</v>
      </c>
      <c r="L876" t="str" cm="1">
        <f t="array" ref="L876">_xlfn.IFS(C876&lt;18,"under 18",C876&lt;36,"btw 18 &amp; 35",C876&lt;51,"btw 36 &amp;50",C876&lt;66,"btw 51 &amp; 66",C876&gt;66,"66 &amp; above")</f>
        <v>btw 51 &amp; 66</v>
      </c>
      <c r="M876">
        <f t="shared" si="14"/>
        <v>2</v>
      </c>
    </row>
    <row r="877" spans="1:13" x14ac:dyDescent="0.25">
      <c r="A877" t="s">
        <v>1559</v>
      </c>
      <c r="B877" t="s">
        <v>903</v>
      </c>
      <c r="C877">
        <v>53</v>
      </c>
      <c r="D877" t="s">
        <v>13</v>
      </c>
      <c r="E877" s="2">
        <v>45412</v>
      </c>
      <c r="F877" s="2">
        <v>45417</v>
      </c>
      <c r="G877" t="s">
        <v>14</v>
      </c>
      <c r="H877" t="s">
        <v>112</v>
      </c>
      <c r="I877" s="3">
        <v>10693.69</v>
      </c>
      <c r="J877" s="4">
        <v>100</v>
      </c>
      <c r="K877" t="s">
        <v>16</v>
      </c>
      <c r="L877" t="str" cm="1">
        <f t="array" ref="L877">_xlfn.IFS(C877&lt;18,"under 18",C877&lt;36,"btw 18 &amp; 35",C877&lt;51,"btw 36 &amp;50",C877&lt;66,"btw 51 &amp; 66",C877&gt;66,"66 &amp; above")</f>
        <v>btw 51 &amp; 66</v>
      </c>
      <c r="M877">
        <f t="shared" si="14"/>
        <v>5</v>
      </c>
    </row>
    <row r="878" spans="1:13" x14ac:dyDescent="0.25">
      <c r="A878" t="s">
        <v>1560</v>
      </c>
      <c r="B878" t="s">
        <v>1561</v>
      </c>
      <c r="C878">
        <v>39</v>
      </c>
      <c r="D878" t="s">
        <v>19</v>
      </c>
      <c r="E878" s="2">
        <v>45633</v>
      </c>
      <c r="F878" s="2">
        <v>45636</v>
      </c>
      <c r="G878" t="s">
        <v>61</v>
      </c>
      <c r="H878" t="s">
        <v>143</v>
      </c>
      <c r="I878" s="3">
        <v>3746.98</v>
      </c>
      <c r="J878" s="4">
        <v>80</v>
      </c>
      <c r="K878" t="s">
        <v>16</v>
      </c>
      <c r="L878" t="str" cm="1">
        <f t="array" ref="L878">_xlfn.IFS(C878&lt;18,"under 18",C878&lt;36,"btw 18 &amp; 35",C878&lt;51,"btw 36 &amp;50",C878&lt;66,"btw 51 &amp; 66",C878&gt;66,"66 &amp; above")</f>
        <v>btw 36 &amp;50</v>
      </c>
      <c r="M878">
        <f t="shared" si="14"/>
        <v>3</v>
      </c>
    </row>
    <row r="879" spans="1:13" x14ac:dyDescent="0.25">
      <c r="A879" t="s">
        <v>1562</v>
      </c>
      <c r="B879" t="s">
        <v>1067</v>
      </c>
      <c r="C879">
        <v>31</v>
      </c>
      <c r="D879" t="s">
        <v>13</v>
      </c>
      <c r="E879" s="2">
        <v>45515</v>
      </c>
      <c r="F879" s="2">
        <v>45525</v>
      </c>
      <c r="G879" t="s">
        <v>71</v>
      </c>
      <c r="H879" t="s">
        <v>238</v>
      </c>
      <c r="I879" s="3">
        <v>24544.65</v>
      </c>
      <c r="J879" s="4">
        <v>80</v>
      </c>
      <c r="K879" t="s">
        <v>16</v>
      </c>
      <c r="L879" t="str" cm="1">
        <f t="array" ref="L879">_xlfn.IFS(C879&lt;18,"under 18",C879&lt;36,"btw 18 &amp; 35",C879&lt;51,"btw 36 &amp;50",C879&lt;66,"btw 51 &amp; 66",C879&gt;66,"66 &amp; above")</f>
        <v>btw 18 &amp; 35</v>
      </c>
      <c r="M879">
        <f t="shared" si="14"/>
        <v>10</v>
      </c>
    </row>
    <row r="880" spans="1:13" x14ac:dyDescent="0.25">
      <c r="A880" t="s">
        <v>1563</v>
      </c>
      <c r="B880" t="s">
        <v>1564</v>
      </c>
      <c r="C880">
        <v>35</v>
      </c>
      <c r="D880" t="s">
        <v>13</v>
      </c>
      <c r="E880" s="2">
        <v>45604</v>
      </c>
      <c r="F880" s="2">
        <v>45605</v>
      </c>
      <c r="G880" t="s">
        <v>24</v>
      </c>
      <c r="H880" t="s">
        <v>205</v>
      </c>
      <c r="I880" s="3">
        <v>1355.19</v>
      </c>
      <c r="J880" s="4">
        <v>80</v>
      </c>
      <c r="K880" t="s">
        <v>16</v>
      </c>
      <c r="L880" t="str" cm="1">
        <f t="array" ref="L880">_xlfn.IFS(C880&lt;18,"under 18",C880&lt;36,"btw 18 &amp; 35",C880&lt;51,"btw 36 &amp;50",C880&lt;66,"btw 51 &amp; 66",C880&gt;66,"66 &amp; above")</f>
        <v>btw 18 &amp; 35</v>
      </c>
      <c r="M880">
        <f t="shared" si="14"/>
        <v>1</v>
      </c>
    </row>
    <row r="881" spans="1:13" x14ac:dyDescent="0.25">
      <c r="A881" t="s">
        <v>1565</v>
      </c>
      <c r="B881" t="s">
        <v>1566</v>
      </c>
      <c r="C881">
        <v>10</v>
      </c>
      <c r="D881" t="s">
        <v>19</v>
      </c>
      <c r="E881" s="2">
        <v>45498</v>
      </c>
      <c r="F881" s="2">
        <v>45499</v>
      </c>
      <c r="G881" t="s">
        <v>50</v>
      </c>
      <c r="H881" t="s">
        <v>124</v>
      </c>
      <c r="I881" s="3">
        <v>628.96</v>
      </c>
      <c r="J881" s="4">
        <v>70</v>
      </c>
      <c r="K881" t="s">
        <v>16</v>
      </c>
      <c r="L881" t="str" cm="1">
        <f t="array" ref="L881">_xlfn.IFS(C881&lt;18,"under 18",C881&lt;36,"btw 18 &amp; 35",C881&lt;51,"btw 36 &amp;50",C881&lt;66,"btw 51 &amp; 66",C881&gt;66,"66 &amp; above")</f>
        <v>under 18</v>
      </c>
      <c r="M881">
        <f t="shared" si="14"/>
        <v>1</v>
      </c>
    </row>
    <row r="882" spans="1:13" x14ac:dyDescent="0.25">
      <c r="A882" t="s">
        <v>1567</v>
      </c>
      <c r="B882" t="s">
        <v>1568</v>
      </c>
      <c r="C882">
        <v>47</v>
      </c>
      <c r="D882" t="s">
        <v>19</v>
      </c>
      <c r="E882" s="2">
        <v>45684</v>
      </c>
      <c r="F882" s="2">
        <v>45686</v>
      </c>
      <c r="G882" t="s">
        <v>32</v>
      </c>
      <c r="H882" t="s">
        <v>88</v>
      </c>
      <c r="I882" s="3">
        <v>2366.37</v>
      </c>
      <c r="J882" s="4">
        <v>80</v>
      </c>
      <c r="K882" t="s">
        <v>16</v>
      </c>
      <c r="L882" t="str" cm="1">
        <f t="array" ref="L882">_xlfn.IFS(C882&lt;18,"under 18",C882&lt;36,"btw 18 &amp; 35",C882&lt;51,"btw 36 &amp;50",C882&lt;66,"btw 51 &amp; 66",C882&gt;66,"66 &amp; above")</f>
        <v>btw 36 &amp;50</v>
      </c>
      <c r="M882">
        <f t="shared" si="14"/>
        <v>2</v>
      </c>
    </row>
    <row r="883" spans="1:13" x14ac:dyDescent="0.25">
      <c r="A883" t="s">
        <v>1569</v>
      </c>
      <c r="B883" t="s">
        <v>1570</v>
      </c>
      <c r="C883">
        <v>22</v>
      </c>
      <c r="D883" t="s">
        <v>13</v>
      </c>
      <c r="E883" s="2">
        <v>45565</v>
      </c>
      <c r="F883" s="2">
        <v>45566</v>
      </c>
      <c r="G883" t="s">
        <v>24</v>
      </c>
      <c r="H883" t="s">
        <v>334</v>
      </c>
      <c r="I883" s="3">
        <v>2471.9699999999998</v>
      </c>
      <c r="J883" s="4">
        <v>50</v>
      </c>
      <c r="K883" t="s">
        <v>16</v>
      </c>
      <c r="L883" t="str" cm="1">
        <f t="array" ref="L883">_xlfn.IFS(C883&lt;18,"under 18",C883&lt;36,"btw 18 &amp; 35",C883&lt;51,"btw 36 &amp;50",C883&lt;66,"btw 51 &amp; 66",C883&gt;66,"66 &amp; above")</f>
        <v>btw 18 &amp; 35</v>
      </c>
      <c r="M883">
        <f t="shared" si="14"/>
        <v>1</v>
      </c>
    </row>
    <row r="884" spans="1:13" x14ac:dyDescent="0.25">
      <c r="A884" t="s">
        <v>1571</v>
      </c>
      <c r="B884" t="s">
        <v>1572</v>
      </c>
      <c r="C884">
        <v>51</v>
      </c>
      <c r="D884" t="s">
        <v>19</v>
      </c>
      <c r="E884" s="2">
        <v>45611</v>
      </c>
      <c r="F884" s="2">
        <v>45616</v>
      </c>
      <c r="G884" t="s">
        <v>14</v>
      </c>
      <c r="H884" t="s">
        <v>103</v>
      </c>
      <c r="I884" s="3">
        <v>12189.63</v>
      </c>
      <c r="J884" s="4">
        <v>90</v>
      </c>
      <c r="K884" t="s">
        <v>16</v>
      </c>
      <c r="L884" t="str" cm="1">
        <f t="array" ref="L884">_xlfn.IFS(C884&lt;18,"under 18",C884&lt;36,"btw 18 &amp; 35",C884&lt;51,"btw 36 &amp;50",C884&lt;66,"btw 51 &amp; 66",C884&gt;66,"66 &amp; above")</f>
        <v>btw 51 &amp; 66</v>
      </c>
      <c r="M884">
        <f t="shared" si="14"/>
        <v>5</v>
      </c>
    </row>
    <row r="885" spans="1:13" x14ac:dyDescent="0.25">
      <c r="A885" t="s">
        <v>1573</v>
      </c>
      <c r="B885" t="s">
        <v>1574</v>
      </c>
      <c r="C885">
        <v>7</v>
      </c>
      <c r="D885" t="s">
        <v>13</v>
      </c>
      <c r="E885" s="2">
        <v>45660</v>
      </c>
      <c r="F885" s="2">
        <v>45663</v>
      </c>
      <c r="G885" t="s">
        <v>50</v>
      </c>
      <c r="H885" t="s">
        <v>121</v>
      </c>
      <c r="I885" s="3">
        <v>4133.3599999999997</v>
      </c>
      <c r="J885" s="4">
        <v>60</v>
      </c>
      <c r="K885" t="s">
        <v>21</v>
      </c>
      <c r="L885" t="str" cm="1">
        <f t="array" ref="L885">_xlfn.IFS(C885&lt;18,"under 18",C885&lt;36,"btw 18 &amp; 35",C885&lt;51,"btw 36 &amp;50",C885&lt;66,"btw 51 &amp; 66",C885&gt;66,"66 &amp; above")</f>
        <v>under 18</v>
      </c>
      <c r="M885">
        <f t="shared" si="14"/>
        <v>3</v>
      </c>
    </row>
    <row r="886" spans="1:13" x14ac:dyDescent="0.25">
      <c r="A886" t="s">
        <v>1575</v>
      </c>
      <c r="B886" t="s">
        <v>1576</v>
      </c>
      <c r="C886">
        <v>29</v>
      </c>
      <c r="D886" t="s">
        <v>19</v>
      </c>
      <c r="E886" s="2">
        <v>45672</v>
      </c>
      <c r="F886" s="2">
        <v>45682</v>
      </c>
      <c r="G886" t="s">
        <v>61</v>
      </c>
      <c r="H886" t="s">
        <v>75</v>
      </c>
      <c r="I886" s="3">
        <v>10560.57</v>
      </c>
      <c r="J886" s="4">
        <v>70</v>
      </c>
      <c r="K886" t="s">
        <v>16</v>
      </c>
      <c r="L886" t="str" cm="1">
        <f t="array" ref="L886">_xlfn.IFS(C886&lt;18,"under 18",C886&lt;36,"btw 18 &amp; 35",C886&lt;51,"btw 36 &amp;50",C886&lt;66,"btw 51 &amp; 66",C886&gt;66,"66 &amp; above")</f>
        <v>btw 18 &amp; 35</v>
      </c>
      <c r="M886">
        <f t="shared" si="14"/>
        <v>10</v>
      </c>
    </row>
    <row r="887" spans="1:13" x14ac:dyDescent="0.25">
      <c r="A887" t="s">
        <v>1577</v>
      </c>
      <c r="B887" t="s">
        <v>1578</v>
      </c>
      <c r="C887">
        <v>55</v>
      </c>
      <c r="D887" t="s">
        <v>19</v>
      </c>
      <c r="E887" s="2">
        <v>45494</v>
      </c>
      <c r="F887" s="2">
        <v>45500</v>
      </c>
      <c r="G887" t="s">
        <v>14</v>
      </c>
      <c r="H887" t="s">
        <v>112</v>
      </c>
      <c r="I887" s="3">
        <v>16685.38</v>
      </c>
      <c r="J887" s="4">
        <v>90</v>
      </c>
      <c r="K887" t="s">
        <v>26</v>
      </c>
      <c r="L887" t="str" cm="1">
        <f t="array" ref="L887">_xlfn.IFS(C887&lt;18,"under 18",C887&lt;36,"btw 18 &amp; 35",C887&lt;51,"btw 36 &amp;50",C887&lt;66,"btw 51 &amp; 66",C887&gt;66,"66 &amp; above")</f>
        <v>btw 51 &amp; 66</v>
      </c>
      <c r="M887">
        <f t="shared" si="14"/>
        <v>6</v>
      </c>
    </row>
    <row r="888" spans="1:13" x14ac:dyDescent="0.25">
      <c r="A888" t="s">
        <v>1579</v>
      </c>
      <c r="B888" t="s">
        <v>18</v>
      </c>
      <c r="C888">
        <v>43</v>
      </c>
      <c r="D888" t="s">
        <v>19</v>
      </c>
      <c r="E888" s="2">
        <v>45450</v>
      </c>
      <c r="F888" s="2">
        <v>45455</v>
      </c>
      <c r="G888" t="s">
        <v>61</v>
      </c>
      <c r="H888" t="s">
        <v>98</v>
      </c>
      <c r="I888" s="3">
        <v>12448.18</v>
      </c>
      <c r="J888" s="4">
        <v>90</v>
      </c>
      <c r="K888" t="s">
        <v>16</v>
      </c>
      <c r="L888" t="str" cm="1">
        <f t="array" ref="L888">_xlfn.IFS(C888&lt;18,"under 18",C888&lt;36,"btw 18 &amp; 35",C888&lt;51,"btw 36 &amp;50",C888&lt;66,"btw 51 &amp; 66",C888&gt;66,"66 &amp; above")</f>
        <v>btw 36 &amp;50</v>
      </c>
      <c r="M888">
        <f t="shared" si="14"/>
        <v>5</v>
      </c>
    </row>
    <row r="889" spans="1:13" x14ac:dyDescent="0.25">
      <c r="A889" t="s">
        <v>1580</v>
      </c>
      <c r="B889" t="s">
        <v>383</v>
      </c>
      <c r="C889">
        <v>58</v>
      </c>
      <c r="D889" t="s">
        <v>19</v>
      </c>
      <c r="E889" s="2">
        <v>45541</v>
      </c>
      <c r="F889" s="2">
        <v>45544</v>
      </c>
      <c r="G889" t="s">
        <v>71</v>
      </c>
      <c r="H889" t="s">
        <v>296</v>
      </c>
      <c r="I889" s="3">
        <v>7181.24</v>
      </c>
      <c r="J889" s="4">
        <v>80</v>
      </c>
      <c r="K889" t="s">
        <v>16</v>
      </c>
      <c r="L889" t="str" cm="1">
        <f t="array" ref="L889">_xlfn.IFS(C889&lt;18,"under 18",C889&lt;36,"btw 18 &amp; 35",C889&lt;51,"btw 36 &amp;50",C889&lt;66,"btw 51 &amp; 66",C889&gt;66,"66 &amp; above")</f>
        <v>btw 51 &amp; 66</v>
      </c>
      <c r="M889">
        <f t="shared" si="14"/>
        <v>3</v>
      </c>
    </row>
    <row r="890" spans="1:13" x14ac:dyDescent="0.25">
      <c r="A890" t="s">
        <v>1581</v>
      </c>
      <c r="B890" t="s">
        <v>1526</v>
      </c>
      <c r="C890">
        <v>51</v>
      </c>
      <c r="D890" t="s">
        <v>19</v>
      </c>
      <c r="E890" s="2">
        <v>45977</v>
      </c>
      <c r="F890" s="2">
        <v>45987</v>
      </c>
      <c r="G890" t="s">
        <v>71</v>
      </c>
      <c r="H890" t="s">
        <v>72</v>
      </c>
      <c r="I890" s="3">
        <v>12719.1</v>
      </c>
      <c r="J890" s="4">
        <v>80</v>
      </c>
      <c r="K890" t="s">
        <v>21</v>
      </c>
      <c r="L890" t="str" cm="1">
        <f t="array" ref="L890">_xlfn.IFS(C890&lt;18,"under 18",C890&lt;36,"btw 18 &amp; 35",C890&lt;51,"btw 36 &amp;50",C890&lt;66,"btw 51 &amp; 66",C890&gt;66,"66 &amp; above")</f>
        <v>btw 51 &amp; 66</v>
      </c>
      <c r="M890">
        <f t="shared" si="14"/>
        <v>10</v>
      </c>
    </row>
    <row r="891" spans="1:13" x14ac:dyDescent="0.25">
      <c r="A891" t="s">
        <v>1582</v>
      </c>
      <c r="B891" t="s">
        <v>1583</v>
      </c>
      <c r="C891">
        <v>19</v>
      </c>
      <c r="D891" t="s">
        <v>19</v>
      </c>
      <c r="E891" s="2">
        <v>45489</v>
      </c>
      <c r="F891" s="2">
        <v>45494</v>
      </c>
      <c r="G891" t="s">
        <v>32</v>
      </c>
      <c r="H891" t="s">
        <v>54</v>
      </c>
      <c r="I891" s="3">
        <v>3960.59</v>
      </c>
      <c r="J891" s="4">
        <v>70</v>
      </c>
      <c r="K891" t="s">
        <v>26</v>
      </c>
      <c r="L891" t="str" cm="1">
        <f t="array" ref="L891">_xlfn.IFS(C891&lt;18,"under 18",C891&lt;36,"btw 18 &amp; 35",C891&lt;51,"btw 36 &amp;50",C891&lt;66,"btw 51 &amp; 66",C891&gt;66,"66 &amp; above")</f>
        <v>btw 18 &amp; 35</v>
      </c>
      <c r="M891">
        <f t="shared" si="14"/>
        <v>5</v>
      </c>
    </row>
    <row r="892" spans="1:13" x14ac:dyDescent="0.25">
      <c r="A892" t="s">
        <v>1584</v>
      </c>
      <c r="B892" t="s">
        <v>1585</v>
      </c>
      <c r="C892">
        <v>73</v>
      </c>
      <c r="D892" t="s">
        <v>13</v>
      </c>
      <c r="E892" s="2">
        <v>45801</v>
      </c>
      <c r="F892" s="2">
        <v>45814</v>
      </c>
      <c r="G892" t="s">
        <v>61</v>
      </c>
      <c r="H892" t="s">
        <v>134</v>
      </c>
      <c r="I892" s="3">
        <v>32658.41</v>
      </c>
      <c r="J892" s="4">
        <v>100</v>
      </c>
      <c r="K892" t="s">
        <v>16</v>
      </c>
      <c r="L892" t="str" cm="1">
        <f t="array" ref="L892">_xlfn.IFS(C892&lt;18,"under 18",C892&lt;36,"btw 18 &amp; 35",C892&lt;51,"btw 36 &amp;50",C892&lt;66,"btw 51 &amp; 66",C892&gt;66,"66 &amp; above")</f>
        <v>66 &amp; above</v>
      </c>
      <c r="M892">
        <f t="shared" si="14"/>
        <v>13</v>
      </c>
    </row>
    <row r="893" spans="1:13" x14ac:dyDescent="0.25">
      <c r="A893" t="s">
        <v>1586</v>
      </c>
      <c r="B893" t="s">
        <v>1587</v>
      </c>
      <c r="C893">
        <v>53</v>
      </c>
      <c r="D893" t="s">
        <v>13</v>
      </c>
      <c r="E893" s="2">
        <v>45661</v>
      </c>
      <c r="F893" s="2">
        <v>45664</v>
      </c>
      <c r="G893" t="s">
        <v>24</v>
      </c>
      <c r="H893" t="s">
        <v>205</v>
      </c>
      <c r="I893" s="3">
        <v>4283.7</v>
      </c>
      <c r="J893" s="4">
        <v>70</v>
      </c>
      <c r="K893" t="s">
        <v>26</v>
      </c>
      <c r="L893" t="str" cm="1">
        <f t="array" ref="L893">_xlfn.IFS(C893&lt;18,"under 18",C893&lt;36,"btw 18 &amp; 35",C893&lt;51,"btw 36 &amp;50",C893&lt;66,"btw 51 &amp; 66",C893&gt;66,"66 &amp; above")</f>
        <v>btw 51 &amp; 66</v>
      </c>
      <c r="M893">
        <f t="shared" si="14"/>
        <v>3</v>
      </c>
    </row>
    <row r="894" spans="1:13" x14ac:dyDescent="0.25">
      <c r="A894" t="s">
        <v>1588</v>
      </c>
      <c r="B894" t="s">
        <v>685</v>
      </c>
      <c r="C894">
        <v>52</v>
      </c>
      <c r="D894" t="s">
        <v>13</v>
      </c>
      <c r="E894" s="2">
        <v>45481</v>
      </c>
      <c r="F894" s="2">
        <v>45483</v>
      </c>
      <c r="G894" t="s">
        <v>61</v>
      </c>
      <c r="H894" t="s">
        <v>78</v>
      </c>
      <c r="I894" s="3">
        <v>5291.81</v>
      </c>
      <c r="J894" s="4">
        <v>50</v>
      </c>
      <c r="K894" t="s">
        <v>16</v>
      </c>
      <c r="L894" t="str" cm="1">
        <f t="array" ref="L894">_xlfn.IFS(C894&lt;18,"under 18",C894&lt;36,"btw 18 &amp; 35",C894&lt;51,"btw 36 &amp;50",C894&lt;66,"btw 51 &amp; 66",C894&gt;66,"66 &amp; above")</f>
        <v>btw 51 &amp; 66</v>
      </c>
      <c r="M894">
        <f t="shared" si="14"/>
        <v>2</v>
      </c>
    </row>
    <row r="895" spans="1:13" x14ac:dyDescent="0.25">
      <c r="A895" t="s">
        <v>1589</v>
      </c>
      <c r="B895" t="s">
        <v>1443</v>
      </c>
      <c r="C895">
        <v>80</v>
      </c>
      <c r="D895" t="s">
        <v>19</v>
      </c>
      <c r="E895" s="2">
        <v>45623</v>
      </c>
      <c r="F895" s="2">
        <v>45629</v>
      </c>
      <c r="G895" t="s">
        <v>32</v>
      </c>
      <c r="H895" t="s">
        <v>36</v>
      </c>
      <c r="I895" s="3">
        <v>3170.27</v>
      </c>
      <c r="J895" s="4">
        <v>90</v>
      </c>
      <c r="K895" t="s">
        <v>16</v>
      </c>
      <c r="L895" t="str" cm="1">
        <f t="array" ref="L895">_xlfn.IFS(C895&lt;18,"under 18",C895&lt;36,"btw 18 &amp; 35",C895&lt;51,"btw 36 &amp;50",C895&lt;66,"btw 51 &amp; 66",C895&gt;66,"66 &amp; above")</f>
        <v>66 &amp; above</v>
      </c>
      <c r="M895">
        <f t="shared" si="14"/>
        <v>6</v>
      </c>
    </row>
    <row r="896" spans="1:13" x14ac:dyDescent="0.25">
      <c r="A896" t="s">
        <v>1590</v>
      </c>
      <c r="B896" t="s">
        <v>1591</v>
      </c>
      <c r="C896">
        <v>32</v>
      </c>
      <c r="D896" t="s">
        <v>13</v>
      </c>
      <c r="E896" s="2">
        <v>45518</v>
      </c>
      <c r="F896" s="2">
        <v>45525</v>
      </c>
      <c r="G896" t="s">
        <v>32</v>
      </c>
      <c r="H896" t="s">
        <v>115</v>
      </c>
      <c r="I896" s="3">
        <v>6978.9</v>
      </c>
      <c r="J896" s="4">
        <v>90</v>
      </c>
      <c r="K896" t="s">
        <v>21</v>
      </c>
      <c r="L896" t="str" cm="1">
        <f t="array" ref="L896">_xlfn.IFS(C896&lt;18,"under 18",C896&lt;36,"btw 18 &amp; 35",C896&lt;51,"btw 36 &amp;50",C896&lt;66,"btw 51 &amp; 66",C896&gt;66,"66 &amp; above")</f>
        <v>btw 18 &amp; 35</v>
      </c>
      <c r="M896">
        <f t="shared" si="14"/>
        <v>7</v>
      </c>
    </row>
    <row r="897" spans="1:13" x14ac:dyDescent="0.25">
      <c r="A897" t="s">
        <v>1592</v>
      </c>
      <c r="B897" t="s">
        <v>1164</v>
      </c>
      <c r="C897">
        <v>63</v>
      </c>
      <c r="D897" t="s">
        <v>19</v>
      </c>
      <c r="E897" s="2">
        <v>45527</v>
      </c>
      <c r="F897" s="2">
        <v>45533</v>
      </c>
      <c r="G897" t="s">
        <v>32</v>
      </c>
      <c r="H897" t="s">
        <v>88</v>
      </c>
      <c r="I897" s="3">
        <v>4868.46</v>
      </c>
      <c r="J897" s="4">
        <v>80</v>
      </c>
      <c r="K897" t="s">
        <v>16</v>
      </c>
      <c r="L897" t="str" cm="1">
        <f t="array" ref="L897">_xlfn.IFS(C897&lt;18,"under 18",C897&lt;36,"btw 18 &amp; 35",C897&lt;51,"btw 36 &amp;50",C897&lt;66,"btw 51 &amp; 66",C897&gt;66,"66 &amp; above")</f>
        <v>btw 51 &amp; 66</v>
      </c>
      <c r="M897">
        <f t="shared" si="14"/>
        <v>6</v>
      </c>
    </row>
    <row r="898" spans="1:13" x14ac:dyDescent="0.25">
      <c r="A898" t="s">
        <v>1593</v>
      </c>
      <c r="B898" t="s">
        <v>574</v>
      </c>
      <c r="C898">
        <v>58</v>
      </c>
      <c r="D898" t="s">
        <v>13</v>
      </c>
      <c r="E898" s="2">
        <v>45833</v>
      </c>
      <c r="F898" s="2">
        <v>45847</v>
      </c>
      <c r="G898" t="s">
        <v>61</v>
      </c>
      <c r="H898" t="s">
        <v>62</v>
      </c>
      <c r="I898" s="3">
        <v>34197.050000000003</v>
      </c>
      <c r="J898" s="4">
        <v>80</v>
      </c>
      <c r="K898" t="s">
        <v>16</v>
      </c>
      <c r="L898" t="str" cm="1">
        <f t="array" ref="L898">_xlfn.IFS(C898&lt;18,"under 18",C898&lt;36,"btw 18 &amp; 35",C898&lt;51,"btw 36 &amp;50",C898&lt;66,"btw 51 &amp; 66",C898&gt;66,"66 &amp; above")</f>
        <v>btw 51 &amp; 66</v>
      </c>
      <c r="M898">
        <f t="shared" si="14"/>
        <v>14</v>
      </c>
    </row>
    <row r="899" spans="1:13" x14ac:dyDescent="0.25">
      <c r="A899" t="s">
        <v>1594</v>
      </c>
      <c r="B899" t="s">
        <v>1595</v>
      </c>
      <c r="C899">
        <v>60</v>
      </c>
      <c r="D899" t="s">
        <v>19</v>
      </c>
      <c r="E899" s="2">
        <v>45331</v>
      </c>
      <c r="F899" s="2">
        <v>45332</v>
      </c>
      <c r="G899" t="s">
        <v>32</v>
      </c>
      <c r="H899" t="s">
        <v>115</v>
      </c>
      <c r="I899" s="3">
        <v>647.75</v>
      </c>
      <c r="J899" s="4">
        <v>80</v>
      </c>
      <c r="K899" t="s">
        <v>16</v>
      </c>
      <c r="L899" t="str" cm="1">
        <f t="array" ref="L899">_xlfn.IFS(C899&lt;18,"under 18",C899&lt;36,"btw 18 &amp; 35",C899&lt;51,"btw 36 &amp;50",C899&lt;66,"btw 51 &amp; 66",C899&gt;66,"66 &amp; above")</f>
        <v>btw 51 &amp; 66</v>
      </c>
      <c r="M899">
        <f t="shared" ref="M899:M962" si="15">AVERAGE(F899-E899)</f>
        <v>1</v>
      </c>
    </row>
    <row r="900" spans="1:13" x14ac:dyDescent="0.25">
      <c r="A900" t="s">
        <v>1596</v>
      </c>
      <c r="B900" t="s">
        <v>1597</v>
      </c>
      <c r="C900">
        <v>5</v>
      </c>
      <c r="D900" t="s">
        <v>19</v>
      </c>
      <c r="E900" s="2">
        <v>45461</v>
      </c>
      <c r="F900" s="2">
        <v>45466</v>
      </c>
      <c r="G900" t="s">
        <v>50</v>
      </c>
      <c r="H900" t="s">
        <v>124</v>
      </c>
      <c r="I900" s="3">
        <v>3913.66</v>
      </c>
      <c r="J900" s="4">
        <v>90</v>
      </c>
      <c r="K900" t="s">
        <v>21</v>
      </c>
      <c r="L900" t="str" cm="1">
        <f t="array" ref="L900">_xlfn.IFS(C900&lt;18,"under 18",C900&lt;36,"btw 18 &amp; 35",C900&lt;51,"btw 36 &amp;50",C900&lt;66,"btw 51 &amp; 66",C900&gt;66,"66 &amp; above")</f>
        <v>under 18</v>
      </c>
      <c r="M900">
        <f t="shared" si="15"/>
        <v>5</v>
      </c>
    </row>
    <row r="901" spans="1:13" x14ac:dyDescent="0.25">
      <c r="A901" t="s">
        <v>1598</v>
      </c>
      <c r="B901" t="s">
        <v>475</v>
      </c>
      <c r="C901">
        <v>8</v>
      </c>
      <c r="D901" t="s">
        <v>13</v>
      </c>
      <c r="E901" s="2">
        <v>45717</v>
      </c>
      <c r="F901" s="2">
        <v>45722</v>
      </c>
      <c r="G901" t="s">
        <v>50</v>
      </c>
      <c r="H901" t="s">
        <v>121</v>
      </c>
      <c r="I901" s="3">
        <v>8364.6200000000008</v>
      </c>
      <c r="J901" s="4">
        <v>100</v>
      </c>
      <c r="K901" t="s">
        <v>16</v>
      </c>
      <c r="L901" t="str" cm="1">
        <f t="array" ref="L901">_xlfn.IFS(C901&lt;18,"under 18",C901&lt;36,"btw 18 &amp; 35",C901&lt;51,"btw 36 &amp;50",C901&lt;66,"btw 51 &amp; 66",C901&gt;66,"66 &amp; above")</f>
        <v>under 18</v>
      </c>
      <c r="M901">
        <f t="shared" si="15"/>
        <v>5</v>
      </c>
    </row>
    <row r="902" spans="1:13" x14ac:dyDescent="0.25">
      <c r="A902" t="s">
        <v>1599</v>
      </c>
      <c r="B902" t="s">
        <v>1600</v>
      </c>
      <c r="C902">
        <v>8</v>
      </c>
      <c r="D902" t="s">
        <v>19</v>
      </c>
      <c r="E902" s="2">
        <v>45991</v>
      </c>
      <c r="F902" s="2">
        <v>45992</v>
      </c>
      <c r="G902" t="s">
        <v>50</v>
      </c>
      <c r="H902" t="s">
        <v>124</v>
      </c>
      <c r="I902" s="3">
        <v>750.94</v>
      </c>
      <c r="J902" s="4">
        <v>60</v>
      </c>
      <c r="K902" t="s">
        <v>21</v>
      </c>
      <c r="L902" t="str" cm="1">
        <f t="array" ref="L902">_xlfn.IFS(C902&lt;18,"under 18",C902&lt;36,"btw 18 &amp; 35",C902&lt;51,"btw 36 &amp;50",C902&lt;66,"btw 51 &amp; 66",C902&gt;66,"66 &amp; above")</f>
        <v>under 18</v>
      </c>
      <c r="M902">
        <f t="shared" si="15"/>
        <v>1</v>
      </c>
    </row>
    <row r="903" spans="1:13" x14ac:dyDescent="0.25">
      <c r="A903" t="s">
        <v>1601</v>
      </c>
      <c r="B903" t="s">
        <v>107</v>
      </c>
      <c r="C903">
        <v>21</v>
      </c>
      <c r="D903" t="s">
        <v>19</v>
      </c>
      <c r="E903" s="2">
        <v>45915</v>
      </c>
      <c r="F903" s="2">
        <v>45916</v>
      </c>
      <c r="G903" t="s">
        <v>24</v>
      </c>
      <c r="H903" t="s">
        <v>205</v>
      </c>
      <c r="I903" s="3">
        <v>1602.23</v>
      </c>
      <c r="J903" s="4">
        <v>90</v>
      </c>
      <c r="K903" t="s">
        <v>16</v>
      </c>
      <c r="L903" t="str" cm="1">
        <f t="array" ref="L903">_xlfn.IFS(C903&lt;18,"under 18",C903&lt;36,"btw 18 &amp; 35",C903&lt;51,"btw 36 &amp;50",C903&lt;66,"btw 51 &amp; 66",C903&gt;66,"66 &amp; above")</f>
        <v>btw 18 &amp; 35</v>
      </c>
      <c r="M903">
        <f t="shared" si="15"/>
        <v>1</v>
      </c>
    </row>
    <row r="904" spans="1:13" x14ac:dyDescent="0.25">
      <c r="A904" t="s">
        <v>1602</v>
      </c>
      <c r="B904" t="s">
        <v>1603</v>
      </c>
      <c r="C904">
        <v>26</v>
      </c>
      <c r="D904" t="s">
        <v>13</v>
      </c>
      <c r="E904" s="2">
        <v>46019</v>
      </c>
      <c r="F904" s="2">
        <v>46022</v>
      </c>
      <c r="G904" t="s">
        <v>61</v>
      </c>
      <c r="H904" t="s">
        <v>78</v>
      </c>
      <c r="I904" s="3">
        <v>3905.3</v>
      </c>
      <c r="J904" s="4">
        <v>80</v>
      </c>
      <c r="K904" t="s">
        <v>21</v>
      </c>
      <c r="L904" t="str" cm="1">
        <f t="array" ref="L904">_xlfn.IFS(C904&lt;18,"under 18",C904&lt;36,"btw 18 &amp; 35",C904&lt;51,"btw 36 &amp;50",C904&lt;66,"btw 51 &amp; 66",C904&gt;66,"66 &amp; above")</f>
        <v>btw 18 &amp; 35</v>
      </c>
      <c r="M904">
        <f t="shared" si="15"/>
        <v>3</v>
      </c>
    </row>
    <row r="905" spans="1:13" x14ac:dyDescent="0.25">
      <c r="A905" t="s">
        <v>1604</v>
      </c>
      <c r="B905" t="s">
        <v>625</v>
      </c>
      <c r="C905">
        <v>56</v>
      </c>
      <c r="D905" t="s">
        <v>13</v>
      </c>
      <c r="E905" s="2">
        <v>45716</v>
      </c>
      <c r="F905" s="2">
        <v>45720</v>
      </c>
      <c r="G905" t="s">
        <v>14</v>
      </c>
      <c r="H905" t="s">
        <v>39</v>
      </c>
      <c r="I905" s="3">
        <v>10882.46</v>
      </c>
      <c r="J905" s="4">
        <v>0</v>
      </c>
      <c r="K905" t="s">
        <v>26</v>
      </c>
      <c r="L905" t="str" cm="1">
        <f t="array" ref="L905">_xlfn.IFS(C905&lt;18,"under 18",C905&lt;36,"btw 18 &amp; 35",C905&lt;51,"btw 36 &amp;50",C905&lt;66,"btw 51 &amp; 66",C905&gt;66,"66 &amp; above")</f>
        <v>btw 51 &amp; 66</v>
      </c>
      <c r="M905">
        <f t="shared" si="15"/>
        <v>4</v>
      </c>
    </row>
    <row r="906" spans="1:13" x14ac:dyDescent="0.25">
      <c r="A906" t="s">
        <v>1605</v>
      </c>
      <c r="B906" t="s">
        <v>1606</v>
      </c>
      <c r="C906">
        <v>40</v>
      </c>
      <c r="D906" t="s">
        <v>19</v>
      </c>
      <c r="E906" s="2">
        <v>45992</v>
      </c>
      <c r="F906" s="2">
        <v>45996</v>
      </c>
      <c r="G906" t="s">
        <v>32</v>
      </c>
      <c r="H906" t="s">
        <v>54</v>
      </c>
      <c r="I906" s="3">
        <v>3645.87</v>
      </c>
      <c r="J906" s="4">
        <v>70</v>
      </c>
      <c r="K906" t="s">
        <v>21</v>
      </c>
      <c r="L906" t="str" cm="1">
        <f t="array" ref="L906">_xlfn.IFS(C906&lt;18,"under 18",C906&lt;36,"btw 18 &amp; 35",C906&lt;51,"btw 36 &amp;50",C906&lt;66,"btw 51 &amp; 66",C906&gt;66,"66 &amp; above")</f>
        <v>btw 36 &amp;50</v>
      </c>
      <c r="M906">
        <f t="shared" si="15"/>
        <v>4</v>
      </c>
    </row>
    <row r="907" spans="1:13" x14ac:dyDescent="0.25">
      <c r="A907" t="s">
        <v>1607</v>
      </c>
      <c r="B907" t="s">
        <v>1608</v>
      </c>
      <c r="C907">
        <v>40</v>
      </c>
      <c r="D907" t="s">
        <v>19</v>
      </c>
      <c r="E907" s="2">
        <v>45754</v>
      </c>
      <c r="F907" s="2">
        <v>45760</v>
      </c>
      <c r="G907" t="s">
        <v>32</v>
      </c>
      <c r="H907" t="s">
        <v>235</v>
      </c>
      <c r="I907" s="3">
        <v>5871.8</v>
      </c>
      <c r="J907" s="4">
        <v>90</v>
      </c>
      <c r="K907" t="s">
        <v>26</v>
      </c>
      <c r="L907" t="str" cm="1">
        <f t="array" ref="L907">_xlfn.IFS(C907&lt;18,"under 18",C907&lt;36,"btw 18 &amp; 35",C907&lt;51,"btw 36 &amp;50",C907&lt;66,"btw 51 &amp; 66",C907&gt;66,"66 &amp; above")</f>
        <v>btw 36 &amp;50</v>
      </c>
      <c r="M907">
        <f t="shared" si="15"/>
        <v>6</v>
      </c>
    </row>
    <row r="908" spans="1:13" x14ac:dyDescent="0.25">
      <c r="A908" t="s">
        <v>1609</v>
      </c>
      <c r="B908" t="s">
        <v>751</v>
      </c>
      <c r="C908">
        <v>34</v>
      </c>
      <c r="D908" t="s">
        <v>19</v>
      </c>
      <c r="E908" s="2">
        <v>45326</v>
      </c>
      <c r="F908" s="2">
        <v>45329</v>
      </c>
      <c r="G908" t="s">
        <v>32</v>
      </c>
      <c r="H908" t="s">
        <v>115</v>
      </c>
      <c r="I908" s="3">
        <v>2527.5100000000002</v>
      </c>
      <c r="J908" s="4">
        <v>60</v>
      </c>
      <c r="K908" t="s">
        <v>21</v>
      </c>
      <c r="L908" t="str" cm="1">
        <f t="array" ref="L908">_xlfn.IFS(C908&lt;18,"under 18",C908&lt;36,"btw 18 &amp; 35",C908&lt;51,"btw 36 &amp;50",C908&lt;66,"btw 51 &amp; 66",C908&gt;66,"66 &amp; above")</f>
        <v>btw 18 &amp; 35</v>
      </c>
      <c r="M908">
        <f t="shared" si="15"/>
        <v>3</v>
      </c>
    </row>
    <row r="909" spans="1:13" x14ac:dyDescent="0.25">
      <c r="A909" t="s">
        <v>1610</v>
      </c>
      <c r="B909" t="s">
        <v>230</v>
      </c>
      <c r="C909">
        <v>40</v>
      </c>
      <c r="D909" t="s">
        <v>19</v>
      </c>
      <c r="E909" s="2">
        <v>45518</v>
      </c>
      <c r="F909" s="2">
        <v>45524</v>
      </c>
      <c r="G909" t="s">
        <v>14</v>
      </c>
      <c r="H909" t="s">
        <v>15</v>
      </c>
      <c r="I909" s="3">
        <v>11311.32</v>
      </c>
      <c r="J909" s="4">
        <v>100</v>
      </c>
      <c r="K909" t="s">
        <v>21</v>
      </c>
      <c r="L909" t="str" cm="1">
        <f t="array" ref="L909">_xlfn.IFS(C909&lt;18,"under 18",C909&lt;36,"btw 18 &amp; 35",C909&lt;51,"btw 36 &amp;50",C909&lt;66,"btw 51 &amp; 66",C909&gt;66,"66 &amp; above")</f>
        <v>btw 36 &amp;50</v>
      </c>
      <c r="M909">
        <f t="shared" si="15"/>
        <v>6</v>
      </c>
    </row>
    <row r="910" spans="1:13" x14ac:dyDescent="0.25">
      <c r="A910" t="s">
        <v>1611</v>
      </c>
      <c r="B910" t="s">
        <v>1612</v>
      </c>
      <c r="C910">
        <v>35</v>
      </c>
      <c r="D910" t="s">
        <v>13</v>
      </c>
      <c r="E910" s="2">
        <v>45447</v>
      </c>
      <c r="F910" s="2">
        <v>45453</v>
      </c>
      <c r="G910" t="s">
        <v>61</v>
      </c>
      <c r="H910" t="s">
        <v>134</v>
      </c>
      <c r="I910" s="3">
        <v>14294.04</v>
      </c>
      <c r="J910" s="4">
        <v>80</v>
      </c>
      <c r="K910" t="s">
        <v>16</v>
      </c>
      <c r="L910" t="str" cm="1">
        <f t="array" ref="L910">_xlfn.IFS(C910&lt;18,"under 18",C910&lt;36,"btw 18 &amp; 35",C910&lt;51,"btw 36 &amp;50",C910&lt;66,"btw 51 &amp; 66",C910&gt;66,"66 &amp; above")</f>
        <v>btw 18 &amp; 35</v>
      </c>
      <c r="M910">
        <f t="shared" si="15"/>
        <v>6</v>
      </c>
    </row>
    <row r="911" spans="1:13" x14ac:dyDescent="0.25">
      <c r="A911" t="s">
        <v>1613</v>
      </c>
      <c r="B911" t="s">
        <v>1614</v>
      </c>
      <c r="C911">
        <v>15</v>
      </c>
      <c r="D911" t="s">
        <v>19</v>
      </c>
      <c r="E911" s="2">
        <v>45831</v>
      </c>
      <c r="F911" s="2">
        <v>45833</v>
      </c>
      <c r="G911" t="s">
        <v>50</v>
      </c>
      <c r="H911" t="s">
        <v>121</v>
      </c>
      <c r="I911" s="3">
        <v>3325.48</v>
      </c>
      <c r="J911" s="4">
        <v>60</v>
      </c>
      <c r="K911" t="s">
        <v>16</v>
      </c>
      <c r="L911" t="str" cm="1">
        <f t="array" ref="L911">_xlfn.IFS(C911&lt;18,"under 18",C911&lt;36,"btw 18 &amp; 35",C911&lt;51,"btw 36 &amp;50",C911&lt;66,"btw 51 &amp; 66",C911&gt;66,"66 &amp; above")</f>
        <v>under 18</v>
      </c>
      <c r="M911">
        <f t="shared" si="15"/>
        <v>2</v>
      </c>
    </row>
    <row r="912" spans="1:13" x14ac:dyDescent="0.25">
      <c r="A912" t="s">
        <v>1615</v>
      </c>
      <c r="B912" t="s">
        <v>1612</v>
      </c>
      <c r="C912">
        <v>84</v>
      </c>
      <c r="D912" t="s">
        <v>13</v>
      </c>
      <c r="E912" s="2">
        <v>46011</v>
      </c>
      <c r="F912" s="2">
        <v>46012</v>
      </c>
      <c r="G912" t="s">
        <v>32</v>
      </c>
      <c r="H912" t="s">
        <v>45</v>
      </c>
      <c r="I912" s="3">
        <v>583.35</v>
      </c>
      <c r="J912" s="4">
        <v>50</v>
      </c>
      <c r="K912" t="s">
        <v>26</v>
      </c>
      <c r="L912" t="str" cm="1">
        <f t="array" ref="L912">_xlfn.IFS(C912&lt;18,"under 18",C912&lt;36,"btw 18 &amp; 35",C912&lt;51,"btw 36 &amp;50",C912&lt;66,"btw 51 &amp; 66",C912&gt;66,"66 &amp; above")</f>
        <v>66 &amp; above</v>
      </c>
      <c r="M912">
        <f t="shared" si="15"/>
        <v>1</v>
      </c>
    </row>
    <row r="913" spans="1:13" x14ac:dyDescent="0.25">
      <c r="A913" t="s">
        <v>1616</v>
      </c>
      <c r="B913" t="s">
        <v>951</v>
      </c>
      <c r="C913">
        <v>54</v>
      </c>
      <c r="D913" t="s">
        <v>13</v>
      </c>
      <c r="E913" s="2">
        <v>45322</v>
      </c>
      <c r="F913" s="2">
        <v>45328</v>
      </c>
      <c r="G913" t="s">
        <v>32</v>
      </c>
      <c r="H913" t="s">
        <v>235</v>
      </c>
      <c r="I913" s="3">
        <v>6644.98</v>
      </c>
      <c r="J913" s="4">
        <v>90</v>
      </c>
      <c r="K913" t="s">
        <v>16</v>
      </c>
      <c r="L913" t="str" cm="1">
        <f t="array" ref="L913">_xlfn.IFS(C913&lt;18,"under 18",C913&lt;36,"btw 18 &amp; 35",C913&lt;51,"btw 36 &amp;50",C913&lt;66,"btw 51 &amp; 66",C913&gt;66,"66 &amp; above")</f>
        <v>btw 51 &amp; 66</v>
      </c>
      <c r="M913">
        <f t="shared" si="15"/>
        <v>6</v>
      </c>
    </row>
    <row r="914" spans="1:13" x14ac:dyDescent="0.25">
      <c r="A914" t="s">
        <v>1617</v>
      </c>
      <c r="B914" t="s">
        <v>66</v>
      </c>
      <c r="C914">
        <v>75</v>
      </c>
      <c r="D914" t="s">
        <v>13</v>
      </c>
      <c r="E914" s="2">
        <v>45840</v>
      </c>
      <c r="F914" s="2">
        <v>45844</v>
      </c>
      <c r="G914" t="s">
        <v>61</v>
      </c>
      <c r="H914" t="s">
        <v>62</v>
      </c>
      <c r="I914" s="3">
        <v>6709.11</v>
      </c>
      <c r="J914" s="4">
        <v>80</v>
      </c>
      <c r="K914" t="s">
        <v>26</v>
      </c>
      <c r="L914" t="str" cm="1">
        <f t="array" ref="L914">_xlfn.IFS(C914&lt;18,"under 18",C914&lt;36,"btw 18 &amp; 35",C914&lt;51,"btw 36 &amp;50",C914&lt;66,"btw 51 &amp; 66",C914&gt;66,"66 &amp; above")</f>
        <v>66 &amp; above</v>
      </c>
      <c r="M914">
        <f t="shared" si="15"/>
        <v>4</v>
      </c>
    </row>
    <row r="915" spans="1:13" x14ac:dyDescent="0.25">
      <c r="A915" t="s">
        <v>1618</v>
      </c>
      <c r="B915" t="s">
        <v>1289</v>
      </c>
      <c r="C915">
        <v>32</v>
      </c>
      <c r="D915" t="s">
        <v>13</v>
      </c>
      <c r="E915" s="2">
        <v>45385</v>
      </c>
      <c r="F915" s="2">
        <v>45389</v>
      </c>
      <c r="G915" t="s">
        <v>71</v>
      </c>
      <c r="H915" t="s">
        <v>158</v>
      </c>
      <c r="I915" s="3">
        <v>7216.27</v>
      </c>
      <c r="J915" s="4">
        <v>80</v>
      </c>
      <c r="K915" t="s">
        <v>21</v>
      </c>
      <c r="L915" t="str" cm="1">
        <f t="array" ref="L915">_xlfn.IFS(C915&lt;18,"under 18",C915&lt;36,"btw 18 &amp; 35",C915&lt;51,"btw 36 &amp;50",C915&lt;66,"btw 51 &amp; 66",C915&gt;66,"66 &amp; above")</f>
        <v>btw 18 &amp; 35</v>
      </c>
      <c r="M915">
        <f t="shared" si="15"/>
        <v>4</v>
      </c>
    </row>
    <row r="916" spans="1:13" x14ac:dyDescent="0.25">
      <c r="A916" t="s">
        <v>1619</v>
      </c>
      <c r="B916" t="s">
        <v>1620</v>
      </c>
      <c r="C916">
        <v>45</v>
      </c>
      <c r="D916" t="s">
        <v>13</v>
      </c>
      <c r="E916" s="2">
        <v>45737</v>
      </c>
      <c r="F916" s="2">
        <v>45746</v>
      </c>
      <c r="G916" t="s">
        <v>71</v>
      </c>
      <c r="H916" t="s">
        <v>238</v>
      </c>
      <c r="I916" s="3">
        <v>13906.96</v>
      </c>
      <c r="J916" s="4">
        <v>80</v>
      </c>
      <c r="K916" t="s">
        <v>16</v>
      </c>
      <c r="L916" t="str" cm="1">
        <f t="array" ref="L916">_xlfn.IFS(C916&lt;18,"under 18",C916&lt;36,"btw 18 &amp; 35",C916&lt;51,"btw 36 &amp;50",C916&lt;66,"btw 51 &amp; 66",C916&gt;66,"66 &amp; above")</f>
        <v>btw 36 &amp;50</v>
      </c>
      <c r="M916">
        <f t="shared" si="15"/>
        <v>9</v>
      </c>
    </row>
    <row r="917" spans="1:13" x14ac:dyDescent="0.25">
      <c r="A917" t="s">
        <v>1621</v>
      </c>
      <c r="B917" t="s">
        <v>1622</v>
      </c>
      <c r="C917">
        <v>68</v>
      </c>
      <c r="D917" t="s">
        <v>13</v>
      </c>
      <c r="E917" s="2">
        <v>45878</v>
      </c>
      <c r="F917" s="2">
        <v>45888</v>
      </c>
      <c r="G917" t="s">
        <v>61</v>
      </c>
      <c r="H917" t="s">
        <v>98</v>
      </c>
      <c r="I917" s="3">
        <v>19370.95</v>
      </c>
      <c r="J917" s="4">
        <v>70</v>
      </c>
      <c r="K917" t="s">
        <v>21</v>
      </c>
      <c r="L917" t="str" cm="1">
        <f t="array" ref="L917">_xlfn.IFS(C917&lt;18,"under 18",C917&lt;36,"btw 18 &amp; 35",C917&lt;51,"btw 36 &amp;50",C917&lt;66,"btw 51 &amp; 66",C917&gt;66,"66 &amp; above")</f>
        <v>66 &amp; above</v>
      </c>
      <c r="M917">
        <f t="shared" si="15"/>
        <v>10</v>
      </c>
    </row>
    <row r="918" spans="1:13" x14ac:dyDescent="0.25">
      <c r="A918" t="s">
        <v>1623</v>
      </c>
      <c r="B918" t="s">
        <v>1624</v>
      </c>
      <c r="C918">
        <v>42</v>
      </c>
      <c r="D918" t="s">
        <v>19</v>
      </c>
      <c r="E918" s="2">
        <v>45452</v>
      </c>
      <c r="F918" s="2">
        <v>45459</v>
      </c>
      <c r="G918" t="s">
        <v>32</v>
      </c>
      <c r="H918" t="s">
        <v>54</v>
      </c>
      <c r="I918" s="3">
        <v>4618.17</v>
      </c>
      <c r="J918" s="4">
        <v>50</v>
      </c>
      <c r="K918" t="s">
        <v>26</v>
      </c>
      <c r="L918" t="str" cm="1">
        <f t="array" ref="L918">_xlfn.IFS(C918&lt;18,"under 18",C918&lt;36,"btw 18 &amp; 35",C918&lt;51,"btw 36 &amp;50",C918&lt;66,"btw 51 &amp; 66",C918&gt;66,"66 &amp; above")</f>
        <v>btw 36 &amp;50</v>
      </c>
      <c r="M918">
        <f t="shared" si="15"/>
        <v>7</v>
      </c>
    </row>
    <row r="919" spans="1:13" x14ac:dyDescent="0.25">
      <c r="A919" t="s">
        <v>1625</v>
      </c>
      <c r="B919" t="s">
        <v>1129</v>
      </c>
      <c r="C919">
        <v>35</v>
      </c>
      <c r="D919" t="s">
        <v>13</v>
      </c>
      <c r="E919" s="2">
        <v>45661</v>
      </c>
      <c r="F919" s="2">
        <v>45664</v>
      </c>
      <c r="G919" t="s">
        <v>32</v>
      </c>
      <c r="H919" t="s">
        <v>54</v>
      </c>
      <c r="I919" s="3">
        <v>4249.75</v>
      </c>
      <c r="J919" s="4">
        <v>70</v>
      </c>
      <c r="K919" t="s">
        <v>26</v>
      </c>
      <c r="L919" t="str" cm="1">
        <f t="array" ref="L919">_xlfn.IFS(C919&lt;18,"under 18",C919&lt;36,"btw 18 &amp; 35",C919&lt;51,"btw 36 &amp;50",C919&lt;66,"btw 51 &amp; 66",C919&gt;66,"66 &amp; above")</f>
        <v>btw 18 &amp; 35</v>
      </c>
      <c r="M919">
        <f t="shared" si="15"/>
        <v>3</v>
      </c>
    </row>
    <row r="920" spans="1:13" x14ac:dyDescent="0.25">
      <c r="A920" t="s">
        <v>1626</v>
      </c>
      <c r="B920" t="s">
        <v>593</v>
      </c>
      <c r="C920">
        <v>60</v>
      </c>
      <c r="D920" t="s">
        <v>13</v>
      </c>
      <c r="E920" s="2">
        <v>45293</v>
      </c>
      <c r="F920" s="2">
        <v>45297</v>
      </c>
      <c r="G920" t="s">
        <v>14</v>
      </c>
      <c r="H920" t="s">
        <v>15</v>
      </c>
      <c r="I920" s="3">
        <v>6532.53</v>
      </c>
      <c r="J920" s="4">
        <v>80</v>
      </c>
      <c r="K920" t="s">
        <v>26</v>
      </c>
      <c r="L920" t="str" cm="1">
        <f t="array" ref="L920">_xlfn.IFS(C920&lt;18,"under 18",C920&lt;36,"btw 18 &amp; 35",C920&lt;51,"btw 36 &amp;50",C920&lt;66,"btw 51 &amp; 66",C920&gt;66,"66 &amp; above")</f>
        <v>btw 51 &amp; 66</v>
      </c>
      <c r="M920">
        <f t="shared" si="15"/>
        <v>4</v>
      </c>
    </row>
    <row r="921" spans="1:13" x14ac:dyDescent="0.25">
      <c r="A921" t="s">
        <v>1627</v>
      </c>
      <c r="B921" t="s">
        <v>815</v>
      </c>
      <c r="C921">
        <v>60</v>
      </c>
      <c r="D921" t="s">
        <v>19</v>
      </c>
      <c r="E921" s="2">
        <v>45628</v>
      </c>
      <c r="F921" s="2">
        <v>45633</v>
      </c>
      <c r="G921" t="s">
        <v>71</v>
      </c>
      <c r="H921" t="s">
        <v>296</v>
      </c>
      <c r="I921" s="3">
        <v>5729.57</v>
      </c>
      <c r="J921" s="4">
        <v>60</v>
      </c>
      <c r="K921" t="s">
        <v>16</v>
      </c>
      <c r="L921" t="str" cm="1">
        <f t="array" ref="L921">_xlfn.IFS(C921&lt;18,"under 18",C921&lt;36,"btw 18 &amp; 35",C921&lt;51,"btw 36 &amp;50",C921&lt;66,"btw 51 &amp; 66",C921&gt;66,"66 &amp; above")</f>
        <v>btw 51 &amp; 66</v>
      </c>
      <c r="M921">
        <f t="shared" si="15"/>
        <v>5</v>
      </c>
    </row>
    <row r="922" spans="1:13" x14ac:dyDescent="0.25">
      <c r="A922" t="s">
        <v>1628</v>
      </c>
      <c r="B922" t="s">
        <v>64</v>
      </c>
      <c r="C922">
        <v>21</v>
      </c>
      <c r="D922" t="s">
        <v>19</v>
      </c>
      <c r="E922" s="2">
        <v>45813</v>
      </c>
      <c r="F922" s="2">
        <v>45815</v>
      </c>
      <c r="G922" t="s">
        <v>32</v>
      </c>
      <c r="H922" t="s">
        <v>88</v>
      </c>
      <c r="I922" s="3">
        <v>2997.87</v>
      </c>
      <c r="J922" s="4">
        <v>70</v>
      </c>
      <c r="K922" t="s">
        <v>16</v>
      </c>
      <c r="L922" t="str" cm="1">
        <f t="array" ref="L922">_xlfn.IFS(C922&lt;18,"under 18",C922&lt;36,"btw 18 &amp; 35",C922&lt;51,"btw 36 &amp;50",C922&lt;66,"btw 51 &amp; 66",C922&gt;66,"66 &amp; above")</f>
        <v>btw 18 &amp; 35</v>
      </c>
      <c r="M922">
        <f t="shared" si="15"/>
        <v>2</v>
      </c>
    </row>
    <row r="923" spans="1:13" x14ac:dyDescent="0.25">
      <c r="A923" t="s">
        <v>1629</v>
      </c>
      <c r="B923" t="s">
        <v>720</v>
      </c>
      <c r="C923">
        <v>54</v>
      </c>
      <c r="D923" t="s">
        <v>13</v>
      </c>
      <c r="E923" s="2">
        <v>45594</v>
      </c>
      <c r="F923" s="2">
        <v>45600</v>
      </c>
      <c r="G923" t="s">
        <v>32</v>
      </c>
      <c r="H923" t="s">
        <v>54</v>
      </c>
      <c r="I923" s="3">
        <v>7526.27</v>
      </c>
      <c r="J923" s="4">
        <v>80</v>
      </c>
      <c r="K923" t="s">
        <v>16</v>
      </c>
      <c r="L923" t="str" cm="1">
        <f t="array" ref="L923">_xlfn.IFS(C923&lt;18,"under 18",C923&lt;36,"btw 18 &amp; 35",C923&lt;51,"btw 36 &amp;50",C923&lt;66,"btw 51 &amp; 66",C923&gt;66,"66 &amp; above")</f>
        <v>btw 51 &amp; 66</v>
      </c>
      <c r="M923">
        <f t="shared" si="15"/>
        <v>6</v>
      </c>
    </row>
    <row r="924" spans="1:13" x14ac:dyDescent="0.25">
      <c r="A924" t="s">
        <v>1630</v>
      </c>
      <c r="B924" t="s">
        <v>1631</v>
      </c>
      <c r="C924">
        <v>29</v>
      </c>
      <c r="D924" t="s">
        <v>19</v>
      </c>
      <c r="E924" s="2">
        <v>45460</v>
      </c>
      <c r="F924" s="2">
        <v>45462</v>
      </c>
      <c r="G924" t="s">
        <v>24</v>
      </c>
      <c r="H924" t="s">
        <v>25</v>
      </c>
      <c r="I924" s="3">
        <v>4378.0200000000004</v>
      </c>
      <c r="J924" s="4">
        <v>80</v>
      </c>
      <c r="K924" t="s">
        <v>16</v>
      </c>
      <c r="L924" t="str" cm="1">
        <f t="array" ref="L924">_xlfn.IFS(C924&lt;18,"under 18",C924&lt;36,"btw 18 &amp; 35",C924&lt;51,"btw 36 &amp;50",C924&lt;66,"btw 51 &amp; 66",C924&gt;66,"66 &amp; above")</f>
        <v>btw 18 &amp; 35</v>
      </c>
      <c r="M924">
        <f t="shared" si="15"/>
        <v>2</v>
      </c>
    </row>
    <row r="925" spans="1:13" x14ac:dyDescent="0.25">
      <c r="A925" t="s">
        <v>1632</v>
      </c>
      <c r="B925" t="s">
        <v>38</v>
      </c>
      <c r="C925">
        <v>36</v>
      </c>
      <c r="D925" t="s">
        <v>19</v>
      </c>
      <c r="E925" s="2">
        <v>45582</v>
      </c>
      <c r="F925" s="2">
        <v>45590</v>
      </c>
      <c r="G925" t="s">
        <v>61</v>
      </c>
      <c r="H925" t="s">
        <v>143</v>
      </c>
      <c r="I925" s="3">
        <v>17866.580000000002</v>
      </c>
      <c r="J925" s="4">
        <v>90</v>
      </c>
      <c r="K925" t="s">
        <v>26</v>
      </c>
      <c r="L925" t="str" cm="1">
        <f t="array" ref="L925">_xlfn.IFS(C925&lt;18,"under 18",C925&lt;36,"btw 18 &amp; 35",C925&lt;51,"btw 36 &amp;50",C925&lt;66,"btw 51 &amp; 66",C925&gt;66,"66 &amp; above")</f>
        <v>btw 36 &amp;50</v>
      </c>
      <c r="M925">
        <f t="shared" si="15"/>
        <v>8</v>
      </c>
    </row>
    <row r="926" spans="1:13" x14ac:dyDescent="0.25">
      <c r="A926" t="s">
        <v>1633</v>
      </c>
      <c r="B926" t="s">
        <v>959</v>
      </c>
      <c r="C926">
        <v>79</v>
      </c>
      <c r="D926" t="s">
        <v>13</v>
      </c>
      <c r="E926" s="2">
        <v>45734</v>
      </c>
      <c r="F926" s="2">
        <v>45738</v>
      </c>
      <c r="G926" t="s">
        <v>14</v>
      </c>
      <c r="H926" t="s">
        <v>112</v>
      </c>
      <c r="I926" s="3">
        <v>5517.67</v>
      </c>
      <c r="J926" s="4">
        <v>90</v>
      </c>
      <c r="K926" t="s">
        <v>16</v>
      </c>
      <c r="L926" t="str" cm="1">
        <f t="array" ref="L926">_xlfn.IFS(C926&lt;18,"under 18",C926&lt;36,"btw 18 &amp; 35",C926&lt;51,"btw 36 &amp;50",C926&lt;66,"btw 51 &amp; 66",C926&gt;66,"66 &amp; above")</f>
        <v>66 &amp; above</v>
      </c>
      <c r="M926">
        <f t="shared" si="15"/>
        <v>4</v>
      </c>
    </row>
    <row r="927" spans="1:13" x14ac:dyDescent="0.25">
      <c r="A927" t="s">
        <v>1634</v>
      </c>
      <c r="B927" t="s">
        <v>345</v>
      </c>
      <c r="C927">
        <v>48</v>
      </c>
      <c r="D927" t="s">
        <v>19</v>
      </c>
      <c r="E927" s="2">
        <v>45570</v>
      </c>
      <c r="F927" s="2">
        <v>45577</v>
      </c>
      <c r="G927" t="s">
        <v>71</v>
      </c>
      <c r="H927" t="s">
        <v>195</v>
      </c>
      <c r="I927" s="3">
        <v>14595.77</v>
      </c>
      <c r="J927" s="4">
        <v>80</v>
      </c>
      <c r="K927" t="s">
        <v>16</v>
      </c>
      <c r="L927" t="str" cm="1">
        <f t="array" ref="L927">_xlfn.IFS(C927&lt;18,"under 18",C927&lt;36,"btw 18 &amp; 35",C927&lt;51,"btw 36 &amp;50",C927&lt;66,"btw 51 &amp; 66",C927&gt;66,"66 &amp; above")</f>
        <v>btw 36 &amp;50</v>
      </c>
      <c r="M927">
        <f t="shared" si="15"/>
        <v>7</v>
      </c>
    </row>
    <row r="928" spans="1:13" x14ac:dyDescent="0.25">
      <c r="A928" t="s">
        <v>1635</v>
      </c>
      <c r="B928" t="s">
        <v>1513</v>
      </c>
      <c r="C928">
        <v>42</v>
      </c>
      <c r="D928" t="s">
        <v>13</v>
      </c>
      <c r="E928" s="2">
        <v>45626</v>
      </c>
      <c r="F928" s="2">
        <v>45627</v>
      </c>
      <c r="G928" t="s">
        <v>32</v>
      </c>
      <c r="H928" t="s">
        <v>45</v>
      </c>
      <c r="I928" s="3">
        <v>543.05999999999995</v>
      </c>
      <c r="J928" s="4">
        <v>50</v>
      </c>
      <c r="K928" t="s">
        <v>16</v>
      </c>
      <c r="L928" t="str" cm="1">
        <f t="array" ref="L928">_xlfn.IFS(C928&lt;18,"under 18",C928&lt;36,"btw 18 &amp; 35",C928&lt;51,"btw 36 &amp;50",C928&lt;66,"btw 51 &amp; 66",C928&gt;66,"66 &amp; above")</f>
        <v>btw 36 &amp;50</v>
      </c>
      <c r="M928">
        <f t="shared" si="15"/>
        <v>1</v>
      </c>
    </row>
    <row r="929" spans="1:15" x14ac:dyDescent="0.25">
      <c r="A929" t="s">
        <v>1636</v>
      </c>
      <c r="B929" t="s">
        <v>539</v>
      </c>
      <c r="C929">
        <v>25</v>
      </c>
      <c r="D929" t="s">
        <v>19</v>
      </c>
      <c r="E929" s="2">
        <v>45316</v>
      </c>
      <c r="F929" s="2">
        <v>45321</v>
      </c>
      <c r="G929" t="s">
        <v>61</v>
      </c>
      <c r="H929" t="s">
        <v>75</v>
      </c>
      <c r="I929" s="3">
        <v>5082.0600000000004</v>
      </c>
      <c r="J929" s="4">
        <v>0</v>
      </c>
      <c r="K929" t="s">
        <v>21</v>
      </c>
      <c r="L929" t="str" cm="1">
        <f t="array" ref="L929">_xlfn.IFS(C929&lt;18,"under 18",C929&lt;36,"btw 18 &amp; 35",C929&lt;51,"btw 36 &amp;50",C929&lt;66,"btw 51 &amp; 66",C929&gt;66,"66 &amp; above")</f>
        <v>btw 18 &amp; 35</v>
      </c>
      <c r="M929">
        <f t="shared" si="15"/>
        <v>5</v>
      </c>
    </row>
    <row r="930" spans="1:15" x14ac:dyDescent="0.25">
      <c r="A930" t="s">
        <v>1637</v>
      </c>
      <c r="B930" t="s">
        <v>1638</v>
      </c>
      <c r="C930">
        <v>38</v>
      </c>
      <c r="D930" t="s">
        <v>13</v>
      </c>
      <c r="E930" s="2">
        <v>45846</v>
      </c>
      <c r="F930" s="2">
        <v>45848</v>
      </c>
      <c r="G930" t="s">
        <v>24</v>
      </c>
      <c r="H930" t="s">
        <v>205</v>
      </c>
      <c r="I930" s="3">
        <v>2871.13</v>
      </c>
      <c r="J930" s="4">
        <v>90</v>
      </c>
      <c r="K930" t="s">
        <v>16</v>
      </c>
      <c r="L930" t="str" cm="1">
        <f t="array" ref="L930">_xlfn.IFS(C930&lt;18,"under 18",C930&lt;36,"btw 18 &amp; 35",C930&lt;51,"btw 36 &amp;50",C930&lt;66,"btw 51 &amp; 66",C930&gt;66,"66 &amp; above")</f>
        <v>btw 36 &amp;50</v>
      </c>
      <c r="M930">
        <f t="shared" si="15"/>
        <v>2</v>
      </c>
    </row>
    <row r="931" spans="1:15" x14ac:dyDescent="0.25">
      <c r="A931" t="s">
        <v>1639</v>
      </c>
      <c r="B931" t="s">
        <v>1640</v>
      </c>
      <c r="C931">
        <v>67</v>
      </c>
      <c r="D931" t="s">
        <v>19</v>
      </c>
      <c r="E931" s="2">
        <v>45643</v>
      </c>
      <c r="F931" s="2">
        <v>45645</v>
      </c>
      <c r="G931" t="s">
        <v>61</v>
      </c>
      <c r="H931" t="s">
        <v>98</v>
      </c>
      <c r="I931" s="3">
        <v>4425.1499999999996</v>
      </c>
      <c r="J931" s="4">
        <v>70</v>
      </c>
      <c r="K931" t="s">
        <v>16</v>
      </c>
      <c r="L931" t="str" cm="1">
        <f t="array" ref="L931">_xlfn.IFS(C931&lt;18,"under 18",C931&lt;36,"btw 18 &amp; 35",C931&lt;51,"btw 36 &amp;50",C931&lt;66,"btw 51 &amp; 66",C931&gt;66,"66 &amp; above")</f>
        <v>66 &amp; above</v>
      </c>
      <c r="M931">
        <f t="shared" si="15"/>
        <v>2</v>
      </c>
    </row>
    <row r="932" spans="1:15" x14ac:dyDescent="0.25">
      <c r="A932" t="s">
        <v>1641</v>
      </c>
      <c r="B932" t="s">
        <v>1642</v>
      </c>
      <c r="C932">
        <v>28</v>
      </c>
      <c r="D932" t="s">
        <v>19</v>
      </c>
      <c r="E932" s="2">
        <v>45661</v>
      </c>
      <c r="F932" s="2">
        <v>45662</v>
      </c>
      <c r="G932" t="s">
        <v>24</v>
      </c>
      <c r="H932" t="s">
        <v>42</v>
      </c>
      <c r="I932" s="3">
        <v>1958.56</v>
      </c>
      <c r="J932" s="4">
        <v>80</v>
      </c>
      <c r="K932" t="s">
        <v>16</v>
      </c>
      <c r="L932" t="str" cm="1">
        <f t="array" ref="L932">_xlfn.IFS(C932&lt;18,"under 18",C932&lt;36,"btw 18 &amp; 35",C932&lt;51,"btw 36 &amp;50",C932&lt;66,"btw 51 &amp; 66",C932&gt;66,"66 &amp; above")</f>
        <v>btw 18 &amp; 35</v>
      </c>
      <c r="M932">
        <f t="shared" si="15"/>
        <v>1</v>
      </c>
    </row>
    <row r="933" spans="1:15" x14ac:dyDescent="0.25">
      <c r="A933" t="s">
        <v>1643</v>
      </c>
      <c r="B933" t="s">
        <v>1644</v>
      </c>
      <c r="C933">
        <v>68</v>
      </c>
      <c r="D933" t="s">
        <v>13</v>
      </c>
      <c r="E933" s="2">
        <v>45767</v>
      </c>
      <c r="F933" s="2">
        <v>45769</v>
      </c>
      <c r="G933" t="s">
        <v>32</v>
      </c>
      <c r="H933" t="s">
        <v>45</v>
      </c>
      <c r="I933" s="3">
        <v>2268.81</v>
      </c>
      <c r="J933" s="4">
        <v>80</v>
      </c>
      <c r="K933" t="s">
        <v>16</v>
      </c>
      <c r="L933" t="str" cm="1">
        <f t="array" ref="L933">_xlfn.IFS(C933&lt;18,"under 18",C933&lt;36,"btw 18 &amp; 35",C933&lt;51,"btw 36 &amp;50",C933&lt;66,"btw 51 &amp; 66",C933&gt;66,"66 &amp; above")</f>
        <v>66 &amp; above</v>
      </c>
      <c r="M933">
        <f t="shared" si="15"/>
        <v>2</v>
      </c>
    </row>
    <row r="934" spans="1:15" x14ac:dyDescent="0.25">
      <c r="A934" t="s">
        <v>1645</v>
      </c>
      <c r="B934" t="s">
        <v>44</v>
      </c>
      <c r="C934">
        <v>41</v>
      </c>
      <c r="D934" t="s">
        <v>13</v>
      </c>
      <c r="E934" s="2">
        <v>45895</v>
      </c>
      <c r="F934" s="2">
        <v>45904</v>
      </c>
      <c r="G934" t="s">
        <v>71</v>
      </c>
      <c r="H934" t="s">
        <v>72</v>
      </c>
      <c r="I934" s="3">
        <v>22621.47</v>
      </c>
      <c r="J934" s="4">
        <v>70</v>
      </c>
      <c r="K934" t="s">
        <v>26</v>
      </c>
      <c r="L934" t="str" cm="1">
        <f t="array" ref="L934">_xlfn.IFS(C934&lt;18,"under 18",C934&lt;36,"btw 18 &amp; 35",C934&lt;51,"btw 36 &amp;50",C934&lt;66,"btw 51 &amp; 66",C934&gt;66,"66 &amp; above")</f>
        <v>btw 36 &amp;50</v>
      </c>
      <c r="M934">
        <f t="shared" si="15"/>
        <v>9</v>
      </c>
    </row>
    <row r="935" spans="1:15" x14ac:dyDescent="0.25">
      <c r="A935" t="s">
        <v>1646</v>
      </c>
      <c r="B935" t="s">
        <v>1647</v>
      </c>
      <c r="C935">
        <v>46</v>
      </c>
      <c r="D935" t="s">
        <v>19</v>
      </c>
      <c r="E935" s="2">
        <v>45978</v>
      </c>
      <c r="F935" s="2">
        <v>45981</v>
      </c>
      <c r="G935" t="s">
        <v>61</v>
      </c>
      <c r="H935" t="s">
        <v>78</v>
      </c>
      <c r="I935" s="3">
        <v>3972.12</v>
      </c>
      <c r="J935" s="4">
        <v>50</v>
      </c>
      <c r="K935" t="s">
        <v>21</v>
      </c>
      <c r="L935" t="str" cm="1">
        <f t="array" ref="L935">_xlfn.IFS(C935&lt;18,"under 18",C935&lt;36,"btw 18 &amp; 35",C935&lt;51,"btw 36 &amp;50",C935&lt;66,"btw 51 &amp; 66",C935&gt;66,"66 &amp; above")</f>
        <v>btw 36 &amp;50</v>
      </c>
      <c r="M935">
        <f t="shared" si="15"/>
        <v>3</v>
      </c>
    </row>
    <row r="936" spans="1:15" x14ac:dyDescent="0.25">
      <c r="A936" t="s">
        <v>1648</v>
      </c>
      <c r="B936" t="s">
        <v>520</v>
      </c>
      <c r="C936">
        <v>16</v>
      </c>
      <c r="D936" t="s">
        <v>19</v>
      </c>
      <c r="E936" s="2">
        <v>45414</v>
      </c>
      <c r="F936" s="2">
        <v>45415</v>
      </c>
      <c r="G936" t="s">
        <v>50</v>
      </c>
      <c r="H936" t="s">
        <v>51</v>
      </c>
      <c r="I936" s="3">
        <v>921.67</v>
      </c>
      <c r="J936" s="4">
        <v>100</v>
      </c>
      <c r="K936" t="s">
        <v>16</v>
      </c>
      <c r="L936" t="str" cm="1">
        <f t="array" ref="L936">_xlfn.IFS(C936&lt;18,"under 18",C936&lt;36,"btw 18 &amp; 35",C936&lt;51,"btw 36 &amp;50",C936&lt;66,"btw 51 &amp; 66",C936&gt;66,"66 &amp; above")</f>
        <v>under 18</v>
      </c>
      <c r="M936">
        <f t="shared" si="15"/>
        <v>1</v>
      </c>
    </row>
    <row r="937" spans="1:15" x14ac:dyDescent="0.25">
      <c r="A937" t="s">
        <v>1649</v>
      </c>
      <c r="B937" t="s">
        <v>117</v>
      </c>
      <c r="C937">
        <v>48</v>
      </c>
      <c r="D937" t="s">
        <v>19</v>
      </c>
      <c r="E937" s="2">
        <v>45503</v>
      </c>
      <c r="F937" s="2">
        <v>45505</v>
      </c>
      <c r="G937" t="s">
        <v>24</v>
      </c>
      <c r="H937" t="s">
        <v>83</v>
      </c>
      <c r="I937" s="3">
        <v>3783.41</v>
      </c>
      <c r="J937" s="4">
        <v>70</v>
      </c>
      <c r="K937" t="s">
        <v>21</v>
      </c>
      <c r="L937" t="str" cm="1">
        <f t="array" ref="L937">_xlfn.IFS(C937&lt;18,"under 18",C937&lt;36,"btw 18 &amp; 35",C937&lt;51,"btw 36 &amp;50",C937&lt;66,"btw 51 &amp; 66",C937&gt;66,"66 &amp; above")</f>
        <v>btw 36 &amp;50</v>
      </c>
      <c r="M937">
        <f t="shared" si="15"/>
        <v>2</v>
      </c>
    </row>
    <row r="938" spans="1:15" x14ac:dyDescent="0.25">
      <c r="A938" t="s">
        <v>1650</v>
      </c>
      <c r="B938" t="s">
        <v>240</v>
      </c>
      <c r="C938">
        <v>31</v>
      </c>
      <c r="D938" t="s">
        <v>13</v>
      </c>
      <c r="E938" s="2">
        <v>45681</v>
      </c>
      <c r="F938" s="2">
        <v>45684</v>
      </c>
      <c r="G938" t="s">
        <v>24</v>
      </c>
      <c r="H938" t="s">
        <v>205</v>
      </c>
      <c r="I938" s="3">
        <v>3007.82</v>
      </c>
      <c r="J938" s="4">
        <v>60</v>
      </c>
      <c r="K938" t="s">
        <v>21</v>
      </c>
      <c r="L938" t="str" cm="1">
        <f t="array" ref="L938">_xlfn.IFS(C938&lt;18,"under 18",C938&lt;36,"btw 18 &amp; 35",C938&lt;51,"btw 36 &amp;50",C938&lt;66,"btw 51 &amp; 66",C938&gt;66,"66 &amp; above")</f>
        <v>btw 18 &amp; 35</v>
      </c>
      <c r="M938">
        <f t="shared" si="15"/>
        <v>3</v>
      </c>
    </row>
    <row r="939" spans="1:15" x14ac:dyDescent="0.25">
      <c r="A939" t="s">
        <v>1651</v>
      </c>
      <c r="B939" t="s">
        <v>1652</v>
      </c>
      <c r="C939">
        <v>12</v>
      </c>
      <c r="D939" t="s">
        <v>13</v>
      </c>
      <c r="E939" s="2">
        <v>45733</v>
      </c>
      <c r="F939" s="2">
        <v>45738</v>
      </c>
      <c r="G939" t="s">
        <v>50</v>
      </c>
      <c r="H939" t="s">
        <v>379</v>
      </c>
      <c r="I939" s="3">
        <v>6547.21</v>
      </c>
      <c r="J939" s="4">
        <v>80</v>
      </c>
      <c r="K939" t="s">
        <v>26</v>
      </c>
      <c r="L939" t="str" cm="1">
        <f t="array" ref="L939">_xlfn.IFS(C939&lt;18,"under 18",C939&lt;36,"btw 18 &amp; 35",C939&lt;51,"btw 36 &amp;50",C939&lt;66,"btw 51 &amp; 66",C939&gt;66,"66 &amp; above")</f>
        <v>under 18</v>
      </c>
      <c r="M939">
        <f t="shared" si="15"/>
        <v>5</v>
      </c>
    </row>
    <row r="940" spans="1:15" x14ac:dyDescent="0.25">
      <c r="A940" t="s">
        <v>1653</v>
      </c>
      <c r="B940" t="s">
        <v>1654</v>
      </c>
      <c r="C940">
        <v>79</v>
      </c>
      <c r="D940" t="s">
        <v>13</v>
      </c>
      <c r="E940" s="2">
        <v>45891</v>
      </c>
      <c r="F940" s="2">
        <v>45897</v>
      </c>
      <c r="G940" t="s">
        <v>71</v>
      </c>
      <c r="H940" t="s">
        <v>195</v>
      </c>
      <c r="I940" s="3">
        <v>6760.22</v>
      </c>
      <c r="J940" s="4">
        <v>90</v>
      </c>
      <c r="K940" t="s">
        <v>16</v>
      </c>
      <c r="L940" t="str" cm="1">
        <f t="array" ref="L940">_xlfn.IFS(C940&lt;18,"under 18",C940&lt;36,"btw 18 &amp; 35",C940&lt;51,"btw 36 &amp;50",C940&lt;66,"btw 51 &amp; 66",C940&gt;66,"66 &amp; above")</f>
        <v>66 &amp; above</v>
      </c>
      <c r="M940">
        <f t="shared" si="15"/>
        <v>6</v>
      </c>
    </row>
    <row r="941" spans="1:15" x14ac:dyDescent="0.25">
      <c r="A941" t="s">
        <v>1655</v>
      </c>
      <c r="B941" t="s">
        <v>1656</v>
      </c>
      <c r="C941">
        <v>48</v>
      </c>
      <c r="D941" t="s">
        <v>13</v>
      </c>
      <c r="E941" s="2">
        <v>45768</v>
      </c>
      <c r="F941" s="2">
        <v>45771</v>
      </c>
      <c r="G941" t="s">
        <v>32</v>
      </c>
      <c r="H941" t="s">
        <v>88</v>
      </c>
      <c r="I941" s="3">
        <v>3865.55</v>
      </c>
      <c r="J941" s="4">
        <v>80</v>
      </c>
      <c r="K941" t="s">
        <v>16</v>
      </c>
      <c r="L941" t="str" cm="1">
        <f t="array" ref="L941">_xlfn.IFS(C941&lt;18,"under 18",C941&lt;36,"btw 18 &amp; 35",C941&lt;51,"btw 36 &amp;50",C941&lt;66,"btw 51 &amp; 66",C941&gt;66,"66 &amp; above")</f>
        <v>btw 36 &amp;50</v>
      </c>
      <c r="M941">
        <f t="shared" si="15"/>
        <v>3</v>
      </c>
    </row>
    <row r="942" spans="1:15" x14ac:dyDescent="0.25">
      <c r="A942" t="s">
        <v>1657</v>
      </c>
      <c r="B942" t="s">
        <v>790</v>
      </c>
      <c r="C942">
        <v>43</v>
      </c>
      <c r="D942" t="s">
        <v>13</v>
      </c>
      <c r="E942" s="2">
        <v>45383</v>
      </c>
      <c r="F942" s="2">
        <v>45389</v>
      </c>
      <c r="G942" t="s">
        <v>32</v>
      </c>
      <c r="H942" t="s">
        <v>54</v>
      </c>
      <c r="I942" s="3">
        <v>5921.38</v>
      </c>
      <c r="J942" s="4">
        <v>70</v>
      </c>
      <c r="K942" t="s">
        <v>16</v>
      </c>
      <c r="L942" t="str" cm="1">
        <f t="array" ref="L942">_xlfn.IFS(C942&lt;18,"under 18",C942&lt;36,"btw 18 &amp; 35",C942&lt;51,"btw 36 &amp;50",C942&lt;66,"btw 51 &amp; 66",C942&gt;66,"66 &amp; above")</f>
        <v>btw 36 &amp;50</v>
      </c>
      <c r="M942">
        <f t="shared" si="15"/>
        <v>6</v>
      </c>
      <c r="O942" t="s">
        <v>1749</v>
      </c>
    </row>
    <row r="943" spans="1:15" x14ac:dyDescent="0.25">
      <c r="A943" t="s">
        <v>1658</v>
      </c>
      <c r="B943" t="s">
        <v>293</v>
      </c>
      <c r="C943">
        <v>34</v>
      </c>
      <c r="D943" t="s">
        <v>13</v>
      </c>
      <c r="E943" s="2">
        <v>45607</v>
      </c>
      <c r="F943" s="2">
        <v>45616</v>
      </c>
      <c r="G943" t="s">
        <v>61</v>
      </c>
      <c r="H943" t="s">
        <v>98</v>
      </c>
      <c r="I943" s="3">
        <v>11299.89</v>
      </c>
      <c r="J943" s="4">
        <v>100</v>
      </c>
      <c r="K943" t="s">
        <v>21</v>
      </c>
      <c r="L943" t="str" cm="1">
        <f t="array" ref="L943">_xlfn.IFS(C943&lt;18,"under 18",C943&lt;36,"btw 18 &amp; 35",C943&lt;51,"btw 36 &amp;50",C943&lt;66,"btw 51 &amp; 66",C943&gt;66,"66 &amp; above")</f>
        <v>btw 18 &amp; 35</v>
      </c>
      <c r="M943">
        <f t="shared" si="15"/>
        <v>9</v>
      </c>
    </row>
    <row r="944" spans="1:15" x14ac:dyDescent="0.25">
      <c r="A944" t="s">
        <v>1659</v>
      </c>
      <c r="B944" t="s">
        <v>1660</v>
      </c>
      <c r="C944">
        <v>15</v>
      </c>
      <c r="D944" t="s">
        <v>19</v>
      </c>
      <c r="E944" s="2">
        <v>45392</v>
      </c>
      <c r="F944" s="2">
        <v>45396</v>
      </c>
      <c r="G944" t="s">
        <v>50</v>
      </c>
      <c r="H944" t="s">
        <v>121</v>
      </c>
      <c r="I944" s="3">
        <v>4061.69</v>
      </c>
      <c r="J944" s="4">
        <v>60</v>
      </c>
      <c r="K944" t="s">
        <v>16</v>
      </c>
      <c r="L944" t="str" cm="1">
        <f t="array" ref="L944">_xlfn.IFS(C944&lt;18,"under 18",C944&lt;36,"btw 18 &amp; 35",C944&lt;51,"btw 36 &amp;50",C944&lt;66,"btw 51 &amp; 66",C944&gt;66,"66 &amp; above")</f>
        <v>under 18</v>
      </c>
      <c r="M944">
        <f t="shared" si="15"/>
        <v>4</v>
      </c>
    </row>
    <row r="945" spans="1:13" x14ac:dyDescent="0.25">
      <c r="A945" t="s">
        <v>1661</v>
      </c>
      <c r="B945" t="s">
        <v>1662</v>
      </c>
      <c r="C945">
        <v>9</v>
      </c>
      <c r="D945" t="s">
        <v>19</v>
      </c>
      <c r="E945" s="2">
        <v>45519</v>
      </c>
      <c r="F945" s="2">
        <v>45520</v>
      </c>
      <c r="G945" t="s">
        <v>50</v>
      </c>
      <c r="H945" t="s">
        <v>121</v>
      </c>
      <c r="I945" s="3">
        <v>1243.02</v>
      </c>
      <c r="J945" s="4">
        <v>80</v>
      </c>
      <c r="K945" t="s">
        <v>16</v>
      </c>
      <c r="L945" t="str" cm="1">
        <f t="array" ref="L945">_xlfn.IFS(C945&lt;18,"under 18",C945&lt;36,"btw 18 &amp; 35",C945&lt;51,"btw 36 &amp;50",C945&lt;66,"btw 51 &amp; 66",C945&gt;66,"66 &amp; above")</f>
        <v>under 18</v>
      </c>
      <c r="M945">
        <f t="shared" si="15"/>
        <v>1</v>
      </c>
    </row>
    <row r="946" spans="1:13" x14ac:dyDescent="0.25">
      <c r="A946" t="s">
        <v>1663</v>
      </c>
      <c r="B946" t="s">
        <v>1664</v>
      </c>
      <c r="C946">
        <v>70</v>
      </c>
      <c r="D946" t="s">
        <v>13</v>
      </c>
      <c r="E946" s="2">
        <v>45592</v>
      </c>
      <c r="F946" s="2">
        <v>45599</v>
      </c>
      <c r="G946" t="s">
        <v>61</v>
      </c>
      <c r="H946" t="s">
        <v>98</v>
      </c>
      <c r="I946" s="3">
        <v>18613.240000000002</v>
      </c>
      <c r="J946" s="4">
        <v>80</v>
      </c>
      <c r="K946" t="s">
        <v>16</v>
      </c>
      <c r="L946" t="str" cm="1">
        <f t="array" ref="L946">_xlfn.IFS(C946&lt;18,"under 18",C946&lt;36,"btw 18 &amp; 35",C946&lt;51,"btw 36 &amp;50",C946&lt;66,"btw 51 &amp; 66",C946&gt;66,"66 &amp; above")</f>
        <v>66 &amp; above</v>
      </c>
      <c r="M946">
        <f t="shared" si="15"/>
        <v>7</v>
      </c>
    </row>
    <row r="947" spans="1:13" x14ac:dyDescent="0.25">
      <c r="A947" t="s">
        <v>1665</v>
      </c>
      <c r="B947" t="s">
        <v>621</v>
      </c>
      <c r="C947">
        <v>31</v>
      </c>
      <c r="D947" t="s">
        <v>19</v>
      </c>
      <c r="E947" s="2">
        <v>45526</v>
      </c>
      <c r="F947" s="2">
        <v>45529</v>
      </c>
      <c r="G947" t="s">
        <v>71</v>
      </c>
      <c r="H947" t="s">
        <v>72</v>
      </c>
      <c r="I947" s="3">
        <v>4541.45</v>
      </c>
      <c r="J947" s="4">
        <v>60</v>
      </c>
      <c r="K947" t="s">
        <v>16</v>
      </c>
      <c r="L947" t="str" cm="1">
        <f t="array" ref="L947">_xlfn.IFS(C947&lt;18,"under 18",C947&lt;36,"btw 18 &amp; 35",C947&lt;51,"btw 36 &amp;50",C947&lt;66,"btw 51 &amp; 66",C947&gt;66,"66 &amp; above")</f>
        <v>btw 18 &amp; 35</v>
      </c>
      <c r="M947">
        <f t="shared" si="15"/>
        <v>3</v>
      </c>
    </row>
    <row r="948" spans="1:13" x14ac:dyDescent="0.25">
      <c r="A948" t="s">
        <v>1666</v>
      </c>
      <c r="B948" t="s">
        <v>1667</v>
      </c>
      <c r="C948">
        <v>65</v>
      </c>
      <c r="D948" t="s">
        <v>13</v>
      </c>
      <c r="E948" s="2">
        <v>45967</v>
      </c>
      <c r="F948" s="2">
        <v>45972</v>
      </c>
      <c r="G948" t="s">
        <v>14</v>
      </c>
      <c r="H948" t="s">
        <v>20</v>
      </c>
      <c r="I948" s="3">
        <v>14897.36</v>
      </c>
      <c r="J948" s="4">
        <v>100</v>
      </c>
      <c r="K948" t="s">
        <v>16</v>
      </c>
      <c r="L948" t="str" cm="1">
        <f t="array" ref="L948">_xlfn.IFS(C948&lt;18,"under 18",C948&lt;36,"btw 18 &amp; 35",C948&lt;51,"btw 36 &amp;50",C948&lt;66,"btw 51 &amp; 66",C948&gt;66,"66 &amp; above")</f>
        <v>btw 51 &amp; 66</v>
      </c>
      <c r="M948">
        <f t="shared" si="15"/>
        <v>5</v>
      </c>
    </row>
    <row r="949" spans="1:13" x14ac:dyDescent="0.25">
      <c r="A949" t="s">
        <v>1668</v>
      </c>
      <c r="B949" t="s">
        <v>35</v>
      </c>
      <c r="C949">
        <v>60</v>
      </c>
      <c r="D949" t="s">
        <v>13</v>
      </c>
      <c r="E949" s="2">
        <v>45761</v>
      </c>
      <c r="F949" s="2">
        <v>45766</v>
      </c>
      <c r="G949" t="s">
        <v>61</v>
      </c>
      <c r="H949" t="s">
        <v>98</v>
      </c>
      <c r="I949" s="3">
        <v>5557.59</v>
      </c>
      <c r="J949" s="4">
        <v>70</v>
      </c>
      <c r="K949" t="s">
        <v>26</v>
      </c>
      <c r="L949" t="str" cm="1">
        <f t="array" ref="L949">_xlfn.IFS(C949&lt;18,"under 18",C949&lt;36,"btw 18 &amp; 35",C949&lt;51,"btw 36 &amp;50",C949&lt;66,"btw 51 &amp; 66",C949&gt;66,"66 &amp; above")</f>
        <v>btw 51 &amp; 66</v>
      </c>
      <c r="M949">
        <f t="shared" si="15"/>
        <v>5</v>
      </c>
    </row>
    <row r="950" spans="1:13" x14ac:dyDescent="0.25">
      <c r="A950" t="s">
        <v>1669</v>
      </c>
      <c r="B950" t="s">
        <v>1670</v>
      </c>
      <c r="C950">
        <v>59</v>
      </c>
      <c r="D950" t="s">
        <v>19</v>
      </c>
      <c r="E950" s="2">
        <v>45331</v>
      </c>
      <c r="F950" s="2">
        <v>45337</v>
      </c>
      <c r="G950" t="s">
        <v>14</v>
      </c>
      <c r="H950" t="s">
        <v>166</v>
      </c>
      <c r="I950" s="3">
        <v>14526.47</v>
      </c>
      <c r="J950" s="4">
        <v>90</v>
      </c>
      <c r="K950" t="s">
        <v>16</v>
      </c>
      <c r="L950" t="str" cm="1">
        <f t="array" ref="L950">_xlfn.IFS(C950&lt;18,"under 18",C950&lt;36,"btw 18 &amp; 35",C950&lt;51,"btw 36 &amp;50",C950&lt;66,"btw 51 &amp; 66",C950&gt;66,"66 &amp; above")</f>
        <v>btw 51 &amp; 66</v>
      </c>
      <c r="M950">
        <f t="shared" si="15"/>
        <v>6</v>
      </c>
    </row>
    <row r="951" spans="1:13" x14ac:dyDescent="0.25">
      <c r="A951" t="s">
        <v>1671</v>
      </c>
      <c r="B951" t="s">
        <v>985</v>
      </c>
      <c r="C951">
        <v>33</v>
      </c>
      <c r="D951" t="s">
        <v>19</v>
      </c>
      <c r="E951" s="2">
        <v>45961</v>
      </c>
      <c r="F951" s="2">
        <v>45968</v>
      </c>
      <c r="G951" t="s">
        <v>32</v>
      </c>
      <c r="H951" t="s">
        <v>235</v>
      </c>
      <c r="I951" s="3">
        <v>6592.81</v>
      </c>
      <c r="J951" s="4">
        <v>80</v>
      </c>
      <c r="K951" t="s">
        <v>21</v>
      </c>
      <c r="L951" t="str" cm="1">
        <f t="array" ref="L951">_xlfn.IFS(C951&lt;18,"under 18",C951&lt;36,"btw 18 &amp; 35",C951&lt;51,"btw 36 &amp;50",C951&lt;66,"btw 51 &amp; 66",C951&gt;66,"66 &amp; above")</f>
        <v>btw 18 &amp; 35</v>
      </c>
      <c r="M951">
        <f t="shared" si="15"/>
        <v>7</v>
      </c>
    </row>
    <row r="952" spans="1:13" x14ac:dyDescent="0.25">
      <c r="A952" t="s">
        <v>1672</v>
      </c>
      <c r="B952" t="s">
        <v>1673</v>
      </c>
      <c r="C952">
        <v>45</v>
      </c>
      <c r="D952" t="s">
        <v>19</v>
      </c>
      <c r="E952" s="2">
        <v>45598</v>
      </c>
      <c r="F952" s="2">
        <v>45602</v>
      </c>
      <c r="G952" t="s">
        <v>32</v>
      </c>
      <c r="H952" t="s">
        <v>115</v>
      </c>
      <c r="I952" s="3">
        <v>5811.71</v>
      </c>
      <c r="J952" s="4">
        <v>80</v>
      </c>
      <c r="K952" t="s">
        <v>16</v>
      </c>
      <c r="L952" t="str" cm="1">
        <f t="array" ref="L952">_xlfn.IFS(C952&lt;18,"under 18",C952&lt;36,"btw 18 &amp; 35",C952&lt;51,"btw 36 &amp;50",C952&lt;66,"btw 51 &amp; 66",C952&gt;66,"66 &amp; above")</f>
        <v>btw 36 &amp;50</v>
      </c>
      <c r="M952">
        <f t="shared" si="15"/>
        <v>4</v>
      </c>
    </row>
    <row r="953" spans="1:13" x14ac:dyDescent="0.25">
      <c r="A953" t="s">
        <v>1674</v>
      </c>
      <c r="B953" t="s">
        <v>1675</v>
      </c>
      <c r="C953">
        <v>72</v>
      </c>
      <c r="D953" t="s">
        <v>19</v>
      </c>
      <c r="E953" s="2">
        <v>45486</v>
      </c>
      <c r="F953" s="2">
        <v>45493</v>
      </c>
      <c r="G953" t="s">
        <v>61</v>
      </c>
      <c r="H953" t="s">
        <v>143</v>
      </c>
      <c r="I953" s="3">
        <v>15420.8</v>
      </c>
      <c r="J953" s="4">
        <v>60</v>
      </c>
      <c r="K953" t="s">
        <v>26</v>
      </c>
      <c r="L953" t="str" cm="1">
        <f t="array" ref="L953">_xlfn.IFS(C953&lt;18,"under 18",C953&lt;36,"btw 18 &amp; 35",C953&lt;51,"btw 36 &amp;50",C953&lt;66,"btw 51 &amp; 66",C953&gt;66,"66 &amp; above")</f>
        <v>66 &amp; above</v>
      </c>
      <c r="M953">
        <f t="shared" si="15"/>
        <v>7</v>
      </c>
    </row>
    <row r="954" spans="1:13" x14ac:dyDescent="0.25">
      <c r="A954" t="s">
        <v>1676</v>
      </c>
      <c r="B954" t="s">
        <v>945</v>
      </c>
      <c r="C954">
        <v>31</v>
      </c>
      <c r="D954" t="s">
        <v>19</v>
      </c>
      <c r="E954" s="2">
        <v>45327</v>
      </c>
      <c r="F954" s="2">
        <v>45338</v>
      </c>
      <c r="G954" t="s">
        <v>61</v>
      </c>
      <c r="H954" t="s">
        <v>75</v>
      </c>
      <c r="I954" s="3">
        <v>28706.36</v>
      </c>
      <c r="J954" s="4">
        <v>80</v>
      </c>
      <c r="K954" t="s">
        <v>16</v>
      </c>
      <c r="L954" t="str" cm="1">
        <f t="array" ref="L954">_xlfn.IFS(C954&lt;18,"under 18",C954&lt;36,"btw 18 &amp; 35",C954&lt;51,"btw 36 &amp;50",C954&lt;66,"btw 51 &amp; 66",C954&gt;66,"66 &amp; above")</f>
        <v>btw 18 &amp; 35</v>
      </c>
      <c r="M954">
        <f t="shared" si="15"/>
        <v>11</v>
      </c>
    </row>
    <row r="955" spans="1:13" x14ac:dyDescent="0.25">
      <c r="A955" t="s">
        <v>1677</v>
      </c>
      <c r="B955" t="s">
        <v>1678</v>
      </c>
      <c r="C955">
        <v>78</v>
      </c>
      <c r="D955" t="s">
        <v>19</v>
      </c>
      <c r="E955" s="2">
        <v>45462</v>
      </c>
      <c r="F955" s="2">
        <v>45468</v>
      </c>
      <c r="G955" t="s">
        <v>14</v>
      </c>
      <c r="H955" t="s">
        <v>15</v>
      </c>
      <c r="I955" s="3">
        <v>10923.17</v>
      </c>
      <c r="J955" s="4">
        <v>90</v>
      </c>
      <c r="K955" t="s">
        <v>21</v>
      </c>
      <c r="L955" t="str" cm="1">
        <f t="array" ref="L955">_xlfn.IFS(C955&lt;18,"under 18",C955&lt;36,"btw 18 &amp; 35",C955&lt;51,"btw 36 &amp;50",C955&lt;66,"btw 51 &amp; 66",C955&gt;66,"66 &amp; above")</f>
        <v>66 &amp; above</v>
      </c>
      <c r="M955">
        <f t="shared" si="15"/>
        <v>6</v>
      </c>
    </row>
    <row r="956" spans="1:13" x14ac:dyDescent="0.25">
      <c r="A956" t="s">
        <v>1679</v>
      </c>
      <c r="B956" t="s">
        <v>303</v>
      </c>
      <c r="C956">
        <v>52</v>
      </c>
      <c r="D956" t="s">
        <v>19</v>
      </c>
      <c r="E956" s="2">
        <v>45696</v>
      </c>
      <c r="F956" s="2">
        <v>45705</v>
      </c>
      <c r="G956" t="s">
        <v>71</v>
      </c>
      <c r="H956" t="s">
        <v>158</v>
      </c>
      <c r="I956" s="3">
        <v>20558.88</v>
      </c>
      <c r="J956" s="4">
        <v>90</v>
      </c>
      <c r="K956" t="s">
        <v>16</v>
      </c>
      <c r="L956" t="str" cm="1">
        <f t="array" ref="L956">_xlfn.IFS(C956&lt;18,"under 18",C956&lt;36,"btw 18 &amp; 35",C956&lt;51,"btw 36 &amp;50",C956&lt;66,"btw 51 &amp; 66",C956&gt;66,"66 &amp; above")</f>
        <v>btw 51 &amp; 66</v>
      </c>
      <c r="M956">
        <f t="shared" si="15"/>
        <v>9</v>
      </c>
    </row>
    <row r="957" spans="1:13" x14ac:dyDescent="0.25">
      <c r="A957" t="s">
        <v>1680</v>
      </c>
      <c r="B957" t="s">
        <v>178</v>
      </c>
      <c r="C957">
        <v>41</v>
      </c>
      <c r="D957" t="s">
        <v>13</v>
      </c>
      <c r="E957" s="2">
        <v>45988</v>
      </c>
      <c r="F957" s="2">
        <v>45989</v>
      </c>
      <c r="G957" t="s">
        <v>32</v>
      </c>
      <c r="H957" t="s">
        <v>36</v>
      </c>
      <c r="I957" s="3">
        <v>759.83</v>
      </c>
      <c r="J957" s="4">
        <v>70</v>
      </c>
      <c r="K957" t="s">
        <v>16</v>
      </c>
      <c r="L957" t="str" cm="1">
        <f t="array" ref="L957">_xlfn.IFS(C957&lt;18,"under 18",C957&lt;36,"btw 18 &amp; 35",C957&lt;51,"btw 36 &amp;50",C957&lt;66,"btw 51 &amp; 66",C957&gt;66,"66 &amp; above")</f>
        <v>btw 36 &amp;50</v>
      </c>
      <c r="M957">
        <f t="shared" si="15"/>
        <v>1</v>
      </c>
    </row>
    <row r="958" spans="1:13" x14ac:dyDescent="0.25">
      <c r="A958" t="s">
        <v>1681</v>
      </c>
      <c r="B958" t="s">
        <v>1640</v>
      </c>
      <c r="C958">
        <v>32</v>
      </c>
      <c r="D958" t="s">
        <v>19</v>
      </c>
      <c r="E958" s="2">
        <v>45697</v>
      </c>
      <c r="F958" s="2">
        <v>45699</v>
      </c>
      <c r="G958" t="s">
        <v>24</v>
      </c>
      <c r="H958" t="s">
        <v>83</v>
      </c>
      <c r="I958" s="3">
        <v>2012.29</v>
      </c>
      <c r="J958" s="4">
        <v>70</v>
      </c>
      <c r="K958" t="s">
        <v>16</v>
      </c>
      <c r="L958" t="str" cm="1">
        <f t="array" ref="L958">_xlfn.IFS(C958&lt;18,"under 18",C958&lt;36,"btw 18 &amp; 35",C958&lt;51,"btw 36 &amp;50",C958&lt;66,"btw 51 &amp; 66",C958&gt;66,"66 &amp; above")</f>
        <v>btw 18 &amp; 35</v>
      </c>
      <c r="M958">
        <f t="shared" si="15"/>
        <v>2</v>
      </c>
    </row>
    <row r="959" spans="1:13" x14ac:dyDescent="0.25">
      <c r="A959" t="s">
        <v>1682</v>
      </c>
      <c r="B959" t="s">
        <v>1683</v>
      </c>
      <c r="C959">
        <v>39</v>
      </c>
      <c r="D959" t="s">
        <v>13</v>
      </c>
      <c r="E959" s="2">
        <v>45450</v>
      </c>
      <c r="F959" s="2">
        <v>45456</v>
      </c>
      <c r="G959" t="s">
        <v>61</v>
      </c>
      <c r="H959" t="s">
        <v>62</v>
      </c>
      <c r="I959" s="3">
        <v>16229.56</v>
      </c>
      <c r="J959" s="4">
        <v>90</v>
      </c>
      <c r="K959" t="s">
        <v>16</v>
      </c>
      <c r="L959" t="str" cm="1">
        <f t="array" ref="L959">_xlfn.IFS(C959&lt;18,"under 18",C959&lt;36,"btw 18 &amp; 35",C959&lt;51,"btw 36 &amp;50",C959&lt;66,"btw 51 &amp; 66",C959&gt;66,"66 &amp; above")</f>
        <v>btw 36 &amp;50</v>
      </c>
      <c r="M959">
        <f t="shared" si="15"/>
        <v>6</v>
      </c>
    </row>
    <row r="960" spans="1:13" x14ac:dyDescent="0.25">
      <c r="A960" t="s">
        <v>1684</v>
      </c>
      <c r="B960" t="s">
        <v>368</v>
      </c>
      <c r="C960">
        <v>52</v>
      </c>
      <c r="D960" t="s">
        <v>13</v>
      </c>
      <c r="E960" s="2">
        <v>45304</v>
      </c>
      <c r="F960" s="2">
        <v>45310</v>
      </c>
      <c r="G960" t="s">
        <v>32</v>
      </c>
      <c r="H960" t="s">
        <v>36</v>
      </c>
      <c r="I960" s="3">
        <v>8478.0300000000007</v>
      </c>
      <c r="J960" s="4">
        <v>70</v>
      </c>
      <c r="K960" t="s">
        <v>26</v>
      </c>
      <c r="L960" t="str" cm="1">
        <f t="array" ref="L960">_xlfn.IFS(C960&lt;18,"under 18",C960&lt;36,"btw 18 &amp; 35",C960&lt;51,"btw 36 &amp;50",C960&lt;66,"btw 51 &amp; 66",C960&gt;66,"66 &amp; above")</f>
        <v>btw 51 &amp; 66</v>
      </c>
      <c r="M960">
        <f t="shared" si="15"/>
        <v>6</v>
      </c>
    </row>
    <row r="961" spans="1:13" x14ac:dyDescent="0.25">
      <c r="A961" t="s">
        <v>1685</v>
      </c>
      <c r="B961" t="s">
        <v>1686</v>
      </c>
      <c r="C961">
        <v>58</v>
      </c>
      <c r="D961" t="s">
        <v>19</v>
      </c>
      <c r="E961" s="2">
        <v>45470</v>
      </c>
      <c r="F961" s="2">
        <v>45480</v>
      </c>
      <c r="G961" t="s">
        <v>71</v>
      </c>
      <c r="H961" t="s">
        <v>158</v>
      </c>
      <c r="I961" s="3">
        <v>23264.42</v>
      </c>
      <c r="J961" s="4">
        <v>60</v>
      </c>
      <c r="K961" t="s">
        <v>16</v>
      </c>
      <c r="L961" t="str" cm="1">
        <f t="array" ref="L961">_xlfn.IFS(C961&lt;18,"under 18",C961&lt;36,"btw 18 &amp; 35",C961&lt;51,"btw 36 &amp;50",C961&lt;66,"btw 51 &amp; 66",C961&gt;66,"66 &amp; above")</f>
        <v>btw 51 &amp; 66</v>
      </c>
      <c r="M961">
        <f t="shared" si="15"/>
        <v>10</v>
      </c>
    </row>
    <row r="962" spans="1:13" x14ac:dyDescent="0.25">
      <c r="A962" t="s">
        <v>1687</v>
      </c>
      <c r="B962" t="s">
        <v>176</v>
      </c>
      <c r="C962">
        <v>82</v>
      </c>
      <c r="D962" t="s">
        <v>19</v>
      </c>
      <c r="E962" s="2">
        <v>45654</v>
      </c>
      <c r="F962" s="2">
        <v>45658</v>
      </c>
      <c r="G962" t="s">
        <v>32</v>
      </c>
      <c r="H962" t="s">
        <v>54</v>
      </c>
      <c r="I962" s="3">
        <v>4983.18</v>
      </c>
      <c r="J962" s="4">
        <v>80</v>
      </c>
      <c r="K962" t="s">
        <v>26</v>
      </c>
      <c r="L962" t="str" cm="1">
        <f t="array" ref="L962">_xlfn.IFS(C962&lt;18,"under 18",C962&lt;36,"btw 18 &amp; 35",C962&lt;51,"btw 36 &amp;50",C962&lt;66,"btw 51 &amp; 66",C962&gt;66,"66 &amp; above")</f>
        <v>66 &amp; above</v>
      </c>
      <c r="M962">
        <f t="shared" si="15"/>
        <v>4</v>
      </c>
    </row>
    <row r="963" spans="1:13" x14ac:dyDescent="0.25">
      <c r="A963" t="s">
        <v>1688</v>
      </c>
      <c r="B963" t="s">
        <v>1689</v>
      </c>
      <c r="C963">
        <v>47</v>
      </c>
      <c r="D963" t="s">
        <v>19</v>
      </c>
      <c r="E963" s="2">
        <v>45735</v>
      </c>
      <c r="F963" s="2">
        <v>45741</v>
      </c>
      <c r="G963" t="s">
        <v>32</v>
      </c>
      <c r="H963" t="s">
        <v>54</v>
      </c>
      <c r="I963" s="3">
        <v>7613.41</v>
      </c>
      <c r="J963" s="4">
        <v>90</v>
      </c>
      <c r="K963" t="s">
        <v>16</v>
      </c>
      <c r="L963" t="str" cm="1">
        <f t="array" ref="L963">_xlfn.IFS(C963&lt;18,"under 18",C963&lt;36,"btw 18 &amp; 35",C963&lt;51,"btw 36 &amp;50",C963&lt;66,"btw 51 &amp; 66",C963&gt;66,"66 &amp; above")</f>
        <v>btw 36 &amp;50</v>
      </c>
      <c r="M963">
        <f t="shared" ref="M963:M1001" si="16">AVERAGE(F963-E963)</f>
        <v>6</v>
      </c>
    </row>
    <row r="964" spans="1:13" x14ac:dyDescent="0.25">
      <c r="A964" t="s">
        <v>1690</v>
      </c>
      <c r="B964" t="s">
        <v>988</v>
      </c>
      <c r="C964">
        <v>37</v>
      </c>
      <c r="D964" t="s">
        <v>13</v>
      </c>
      <c r="E964" s="2">
        <v>45387</v>
      </c>
      <c r="F964" s="2">
        <v>45388</v>
      </c>
      <c r="G964" t="s">
        <v>24</v>
      </c>
      <c r="H964" t="s">
        <v>222</v>
      </c>
      <c r="I964" s="3">
        <v>2431.81</v>
      </c>
      <c r="J964" s="4">
        <v>80</v>
      </c>
      <c r="K964" t="s">
        <v>16</v>
      </c>
      <c r="L964" t="str" cm="1">
        <f t="array" ref="L964">_xlfn.IFS(C964&lt;18,"under 18",C964&lt;36,"btw 18 &amp; 35",C964&lt;51,"btw 36 &amp;50",C964&lt;66,"btw 51 &amp; 66",C964&gt;66,"66 &amp; above")</f>
        <v>btw 36 &amp;50</v>
      </c>
      <c r="M964">
        <f t="shared" si="16"/>
        <v>1</v>
      </c>
    </row>
    <row r="965" spans="1:13" x14ac:dyDescent="0.25">
      <c r="A965" t="s">
        <v>1691</v>
      </c>
      <c r="B965" t="s">
        <v>1692</v>
      </c>
      <c r="C965">
        <v>61</v>
      </c>
      <c r="D965" t="s">
        <v>19</v>
      </c>
      <c r="E965" s="2">
        <v>45478</v>
      </c>
      <c r="F965" s="2">
        <v>45480</v>
      </c>
      <c r="G965" t="s">
        <v>32</v>
      </c>
      <c r="H965" t="s">
        <v>235</v>
      </c>
      <c r="I965" s="3">
        <v>1073.8900000000001</v>
      </c>
      <c r="J965" s="4">
        <v>70</v>
      </c>
      <c r="K965" t="s">
        <v>21</v>
      </c>
      <c r="L965" t="str" cm="1">
        <f t="array" ref="L965">_xlfn.IFS(C965&lt;18,"under 18",C965&lt;36,"btw 18 &amp; 35",C965&lt;51,"btw 36 &amp;50",C965&lt;66,"btw 51 &amp; 66",C965&gt;66,"66 &amp; above")</f>
        <v>btw 51 &amp; 66</v>
      </c>
      <c r="M965">
        <f t="shared" si="16"/>
        <v>2</v>
      </c>
    </row>
    <row r="966" spans="1:13" x14ac:dyDescent="0.25">
      <c r="A966" t="s">
        <v>1693</v>
      </c>
      <c r="B966" t="s">
        <v>1694</v>
      </c>
      <c r="C966">
        <v>70</v>
      </c>
      <c r="D966" t="s">
        <v>19</v>
      </c>
      <c r="E966" s="2">
        <v>45738</v>
      </c>
      <c r="F966" s="2">
        <v>45748</v>
      </c>
      <c r="G966" t="s">
        <v>14</v>
      </c>
      <c r="H966" t="s">
        <v>103</v>
      </c>
      <c r="I966" s="3">
        <v>19302.61</v>
      </c>
      <c r="J966" s="4">
        <v>100</v>
      </c>
      <c r="K966" t="s">
        <v>26</v>
      </c>
      <c r="L966" t="str" cm="1">
        <f t="array" ref="L966">_xlfn.IFS(C966&lt;18,"under 18",C966&lt;36,"btw 18 &amp; 35",C966&lt;51,"btw 36 &amp;50",C966&lt;66,"btw 51 &amp; 66",C966&gt;66,"66 &amp; above")</f>
        <v>66 &amp; above</v>
      </c>
      <c r="M966">
        <f t="shared" si="16"/>
        <v>10</v>
      </c>
    </row>
    <row r="967" spans="1:13" x14ac:dyDescent="0.25">
      <c r="A967" t="s">
        <v>1695</v>
      </c>
      <c r="B967" t="s">
        <v>1539</v>
      </c>
      <c r="C967">
        <v>68</v>
      </c>
      <c r="D967" t="s">
        <v>19</v>
      </c>
      <c r="E967" s="2">
        <v>45791</v>
      </c>
      <c r="F967" s="2">
        <v>45797</v>
      </c>
      <c r="G967" t="s">
        <v>32</v>
      </c>
      <c r="H967" t="s">
        <v>115</v>
      </c>
      <c r="I967" s="3">
        <v>4686.18</v>
      </c>
      <c r="J967" s="4">
        <v>100</v>
      </c>
      <c r="K967" t="s">
        <v>16</v>
      </c>
      <c r="L967" t="str" cm="1">
        <f t="array" ref="L967">_xlfn.IFS(C967&lt;18,"under 18",C967&lt;36,"btw 18 &amp; 35",C967&lt;51,"btw 36 &amp;50",C967&lt;66,"btw 51 &amp; 66",C967&gt;66,"66 &amp; above")</f>
        <v>66 &amp; above</v>
      </c>
      <c r="M967">
        <f t="shared" si="16"/>
        <v>6</v>
      </c>
    </row>
    <row r="968" spans="1:13" x14ac:dyDescent="0.25">
      <c r="A968" t="s">
        <v>1696</v>
      </c>
      <c r="B968" t="s">
        <v>1697</v>
      </c>
      <c r="C968">
        <v>7</v>
      </c>
      <c r="D968" t="s">
        <v>19</v>
      </c>
      <c r="E968" s="2">
        <v>45923</v>
      </c>
      <c r="F968" s="2">
        <v>45926</v>
      </c>
      <c r="G968" t="s">
        <v>50</v>
      </c>
      <c r="H968" t="s">
        <v>379</v>
      </c>
      <c r="I968" s="3">
        <v>3301.8</v>
      </c>
      <c r="J968" s="4">
        <v>70</v>
      </c>
      <c r="K968" t="s">
        <v>26</v>
      </c>
      <c r="L968" t="str" cm="1">
        <f t="array" ref="L968">_xlfn.IFS(C968&lt;18,"under 18",C968&lt;36,"btw 18 &amp; 35",C968&lt;51,"btw 36 &amp;50",C968&lt;66,"btw 51 &amp; 66",C968&gt;66,"66 &amp; above")</f>
        <v>under 18</v>
      </c>
      <c r="M968">
        <f t="shared" si="16"/>
        <v>3</v>
      </c>
    </row>
    <row r="969" spans="1:13" x14ac:dyDescent="0.25">
      <c r="A969" t="s">
        <v>1698</v>
      </c>
      <c r="B969" t="s">
        <v>393</v>
      </c>
      <c r="C969">
        <v>57</v>
      </c>
      <c r="D969" t="s">
        <v>19</v>
      </c>
      <c r="E969" s="2">
        <v>45596</v>
      </c>
      <c r="F969" s="2">
        <v>45599</v>
      </c>
      <c r="G969" t="s">
        <v>61</v>
      </c>
      <c r="H969" t="s">
        <v>62</v>
      </c>
      <c r="I969" s="3">
        <v>5980.45</v>
      </c>
      <c r="J969" s="4">
        <v>100</v>
      </c>
      <c r="K969" t="s">
        <v>16</v>
      </c>
      <c r="L969" t="str" cm="1">
        <f t="array" ref="L969">_xlfn.IFS(C969&lt;18,"under 18",C969&lt;36,"btw 18 &amp; 35",C969&lt;51,"btw 36 &amp;50",C969&lt;66,"btw 51 &amp; 66",C969&gt;66,"66 &amp; above")</f>
        <v>btw 51 &amp; 66</v>
      </c>
      <c r="M969">
        <f t="shared" si="16"/>
        <v>3</v>
      </c>
    </row>
    <row r="970" spans="1:13" x14ac:dyDescent="0.25">
      <c r="A970" t="s">
        <v>1699</v>
      </c>
      <c r="B970" t="s">
        <v>1700</v>
      </c>
      <c r="C970">
        <v>34</v>
      </c>
      <c r="D970" t="s">
        <v>19</v>
      </c>
      <c r="E970" s="2">
        <v>45932</v>
      </c>
      <c r="F970" s="2">
        <v>45936</v>
      </c>
      <c r="G970" t="s">
        <v>32</v>
      </c>
      <c r="H970" t="s">
        <v>54</v>
      </c>
      <c r="I970" s="3">
        <v>5054.45</v>
      </c>
      <c r="J970" s="4">
        <v>60</v>
      </c>
      <c r="K970" t="s">
        <v>21</v>
      </c>
      <c r="L970" t="str" cm="1">
        <f t="array" ref="L970">_xlfn.IFS(C970&lt;18,"under 18",C970&lt;36,"btw 18 &amp; 35",C970&lt;51,"btw 36 &amp;50",C970&lt;66,"btw 51 &amp; 66",C970&gt;66,"66 &amp; above")</f>
        <v>btw 18 &amp; 35</v>
      </c>
      <c r="M970">
        <f t="shared" si="16"/>
        <v>4</v>
      </c>
    </row>
    <row r="971" spans="1:13" x14ac:dyDescent="0.25">
      <c r="A971" t="s">
        <v>1701</v>
      </c>
      <c r="B971" t="s">
        <v>1702</v>
      </c>
      <c r="C971">
        <v>52</v>
      </c>
      <c r="D971" t="s">
        <v>13</v>
      </c>
      <c r="E971" s="2">
        <v>45876</v>
      </c>
      <c r="F971" s="2">
        <v>45878</v>
      </c>
      <c r="G971" t="s">
        <v>24</v>
      </c>
      <c r="H971" t="s">
        <v>205</v>
      </c>
      <c r="I971" s="3">
        <v>3102.51</v>
      </c>
      <c r="J971" s="4">
        <v>90</v>
      </c>
      <c r="K971" t="s">
        <v>16</v>
      </c>
      <c r="L971" t="str" cm="1">
        <f t="array" ref="L971">_xlfn.IFS(C971&lt;18,"under 18",C971&lt;36,"btw 18 &amp; 35",C971&lt;51,"btw 36 &amp;50",C971&lt;66,"btw 51 &amp; 66",C971&gt;66,"66 &amp; above")</f>
        <v>btw 51 &amp; 66</v>
      </c>
      <c r="M971">
        <f t="shared" si="16"/>
        <v>2</v>
      </c>
    </row>
    <row r="972" spans="1:13" x14ac:dyDescent="0.25">
      <c r="A972" t="s">
        <v>1703</v>
      </c>
      <c r="B972" t="s">
        <v>497</v>
      </c>
      <c r="C972">
        <v>66</v>
      </c>
      <c r="D972" t="s">
        <v>13</v>
      </c>
      <c r="E972" s="2">
        <v>45669</v>
      </c>
      <c r="F972" s="2">
        <v>45676</v>
      </c>
      <c r="G972" t="s">
        <v>61</v>
      </c>
      <c r="H972" t="s">
        <v>98</v>
      </c>
      <c r="I972" s="3">
        <v>7068.71</v>
      </c>
      <c r="J972" s="4">
        <v>70</v>
      </c>
      <c r="K972" t="s">
        <v>26</v>
      </c>
      <c r="L972" t="e" cm="1">
        <f t="array" ref="L972">_xlfn.IFS(C972&lt;18,"under 18",C972&lt;36,"btw 18 &amp; 35",C972&lt;51,"btw 36 &amp;50",C972&lt;66,"btw 51 &amp; 66",C972&gt;66,"66 &amp; above")</f>
        <v>#N/A</v>
      </c>
      <c r="M972">
        <f t="shared" si="16"/>
        <v>7</v>
      </c>
    </row>
    <row r="973" spans="1:13" x14ac:dyDescent="0.25">
      <c r="A973" t="s">
        <v>1704</v>
      </c>
      <c r="B973" t="s">
        <v>1705</v>
      </c>
      <c r="C973">
        <v>59</v>
      </c>
      <c r="D973" t="s">
        <v>13</v>
      </c>
      <c r="E973" s="2">
        <v>45376</v>
      </c>
      <c r="F973" s="2">
        <v>45380</v>
      </c>
      <c r="G973" t="s">
        <v>61</v>
      </c>
      <c r="H973" t="s">
        <v>75</v>
      </c>
      <c r="I973" s="3">
        <v>7018.51</v>
      </c>
      <c r="J973" s="4">
        <v>80</v>
      </c>
      <c r="K973" t="s">
        <v>16</v>
      </c>
      <c r="L973" t="str" cm="1">
        <f t="array" ref="L973">_xlfn.IFS(C973&lt;18,"under 18",C973&lt;36,"btw 18 &amp; 35",C973&lt;51,"btw 36 &amp;50",C973&lt;66,"btw 51 &amp; 66",C973&gt;66,"66 &amp; above")</f>
        <v>btw 51 &amp; 66</v>
      </c>
      <c r="M973">
        <f t="shared" si="16"/>
        <v>4</v>
      </c>
    </row>
    <row r="974" spans="1:13" x14ac:dyDescent="0.25">
      <c r="A974" t="s">
        <v>1706</v>
      </c>
      <c r="B974" t="s">
        <v>1707</v>
      </c>
      <c r="C974">
        <v>17</v>
      </c>
      <c r="D974" t="s">
        <v>19</v>
      </c>
      <c r="E974" s="2">
        <v>45625</v>
      </c>
      <c r="F974" s="2">
        <v>45626</v>
      </c>
      <c r="G974" t="s">
        <v>50</v>
      </c>
      <c r="H974" t="s">
        <v>121</v>
      </c>
      <c r="I974" s="3">
        <v>895.4</v>
      </c>
      <c r="J974" s="4">
        <v>70</v>
      </c>
      <c r="K974" t="s">
        <v>21</v>
      </c>
      <c r="L974" t="str" cm="1">
        <f t="array" ref="L974">_xlfn.IFS(C974&lt;18,"under 18",C974&lt;36,"btw 18 &amp; 35",C974&lt;51,"btw 36 &amp;50",C974&lt;66,"btw 51 &amp; 66",C974&gt;66,"66 &amp; above")</f>
        <v>under 18</v>
      </c>
      <c r="M974">
        <f t="shared" si="16"/>
        <v>1</v>
      </c>
    </row>
    <row r="975" spans="1:13" x14ac:dyDescent="0.25">
      <c r="A975" t="s">
        <v>1708</v>
      </c>
      <c r="B975" t="s">
        <v>1531</v>
      </c>
      <c r="C975">
        <v>25</v>
      </c>
      <c r="D975" t="s">
        <v>19</v>
      </c>
      <c r="E975" s="2">
        <v>45853</v>
      </c>
      <c r="F975" s="2">
        <v>45858</v>
      </c>
      <c r="G975" t="s">
        <v>32</v>
      </c>
      <c r="H975" t="s">
        <v>45</v>
      </c>
      <c r="I975" s="3">
        <v>5857.12</v>
      </c>
      <c r="J975" s="4">
        <v>70</v>
      </c>
      <c r="K975" t="s">
        <v>16</v>
      </c>
      <c r="L975" t="str" cm="1">
        <f t="array" ref="L975">_xlfn.IFS(C975&lt;18,"under 18",C975&lt;36,"btw 18 &amp; 35",C975&lt;51,"btw 36 &amp;50",C975&lt;66,"btw 51 &amp; 66",C975&gt;66,"66 &amp; above")</f>
        <v>btw 18 &amp; 35</v>
      </c>
      <c r="M975">
        <f t="shared" si="16"/>
        <v>5</v>
      </c>
    </row>
    <row r="976" spans="1:13" x14ac:dyDescent="0.25">
      <c r="A976" t="s">
        <v>1709</v>
      </c>
      <c r="B976" t="s">
        <v>479</v>
      </c>
      <c r="C976">
        <v>22</v>
      </c>
      <c r="D976" t="s">
        <v>19</v>
      </c>
      <c r="E976" s="2">
        <v>45923</v>
      </c>
      <c r="F976" s="2">
        <v>45926</v>
      </c>
      <c r="G976" t="s">
        <v>24</v>
      </c>
      <c r="H976" t="s">
        <v>83</v>
      </c>
      <c r="I976" s="3">
        <v>5212.57</v>
      </c>
      <c r="J976" s="4">
        <v>90</v>
      </c>
      <c r="K976" t="s">
        <v>16</v>
      </c>
      <c r="L976" t="str" cm="1">
        <f t="array" ref="L976">_xlfn.IFS(C976&lt;18,"under 18",C976&lt;36,"btw 18 &amp; 35",C976&lt;51,"btw 36 &amp;50",C976&lt;66,"btw 51 &amp; 66",C976&gt;66,"66 &amp; above")</f>
        <v>btw 18 &amp; 35</v>
      </c>
      <c r="M976">
        <f t="shared" si="16"/>
        <v>3</v>
      </c>
    </row>
    <row r="977" spans="1:15" x14ac:dyDescent="0.25">
      <c r="A977" t="s">
        <v>1710</v>
      </c>
      <c r="B977" t="s">
        <v>281</v>
      </c>
      <c r="C977">
        <v>73</v>
      </c>
      <c r="D977" t="s">
        <v>13</v>
      </c>
      <c r="E977" s="2">
        <v>45654</v>
      </c>
      <c r="F977" s="2">
        <v>45661</v>
      </c>
      <c r="G977" t="s">
        <v>14</v>
      </c>
      <c r="H977" t="s">
        <v>166</v>
      </c>
      <c r="I977" s="3">
        <v>18256.04</v>
      </c>
      <c r="J977" s="4">
        <v>70</v>
      </c>
      <c r="K977" t="s">
        <v>21</v>
      </c>
      <c r="L977" t="str" cm="1">
        <f t="array" ref="L977">_xlfn.IFS(C977&lt;18,"under 18",C977&lt;36,"btw 18 &amp; 35",C977&lt;51,"btw 36 &amp;50",C977&lt;66,"btw 51 &amp; 66",C977&gt;66,"66 &amp; above")</f>
        <v>66 &amp; above</v>
      </c>
      <c r="M977">
        <f t="shared" si="16"/>
        <v>7</v>
      </c>
    </row>
    <row r="978" spans="1:15" x14ac:dyDescent="0.25">
      <c r="A978" t="s">
        <v>1711</v>
      </c>
      <c r="B978" t="s">
        <v>1712</v>
      </c>
      <c r="C978">
        <v>40</v>
      </c>
      <c r="D978" t="s">
        <v>19</v>
      </c>
      <c r="E978" s="2">
        <v>45751</v>
      </c>
      <c r="F978" s="2">
        <v>45761</v>
      </c>
      <c r="G978" t="s">
        <v>14</v>
      </c>
      <c r="H978" t="s">
        <v>15</v>
      </c>
      <c r="I978" s="3">
        <v>22950.92</v>
      </c>
      <c r="J978" s="4">
        <v>80</v>
      </c>
      <c r="K978" t="s">
        <v>16</v>
      </c>
      <c r="L978" t="str" cm="1">
        <f t="array" ref="L978">_xlfn.IFS(C978&lt;18,"under 18",C978&lt;36,"btw 18 &amp; 35",C978&lt;51,"btw 36 &amp;50",C978&lt;66,"btw 51 &amp; 66",C978&gt;66,"66 &amp; above")</f>
        <v>btw 36 &amp;50</v>
      </c>
      <c r="M978">
        <f t="shared" si="16"/>
        <v>10</v>
      </c>
    </row>
    <row r="979" spans="1:15" x14ac:dyDescent="0.25">
      <c r="A979" t="s">
        <v>1713</v>
      </c>
      <c r="B979" t="s">
        <v>190</v>
      </c>
      <c r="C979">
        <v>65</v>
      </c>
      <c r="D979" t="s">
        <v>13</v>
      </c>
      <c r="E979" s="2">
        <v>45649</v>
      </c>
      <c r="F979" s="2">
        <v>45656</v>
      </c>
      <c r="G979" t="s">
        <v>32</v>
      </c>
      <c r="H979" t="s">
        <v>115</v>
      </c>
      <c r="I979" s="3">
        <v>9174.23</v>
      </c>
      <c r="J979" s="4">
        <v>60</v>
      </c>
      <c r="K979" t="s">
        <v>26</v>
      </c>
      <c r="L979" t="str" cm="1">
        <f t="array" ref="L979">_xlfn.IFS(C979&lt;18,"under 18",C979&lt;36,"btw 18 &amp; 35",C979&lt;51,"btw 36 &amp;50",C979&lt;66,"btw 51 &amp; 66",C979&gt;66,"66 &amp; above")</f>
        <v>btw 51 &amp; 66</v>
      </c>
      <c r="M979">
        <f t="shared" si="16"/>
        <v>7</v>
      </c>
    </row>
    <row r="980" spans="1:15" x14ac:dyDescent="0.25">
      <c r="A980" t="s">
        <v>1714</v>
      </c>
      <c r="B980" t="s">
        <v>130</v>
      </c>
      <c r="C980">
        <v>18</v>
      </c>
      <c r="D980" t="s">
        <v>19</v>
      </c>
      <c r="E980" s="2">
        <v>45900</v>
      </c>
      <c r="F980" s="2">
        <v>45903</v>
      </c>
      <c r="G980" t="s">
        <v>32</v>
      </c>
      <c r="H980" t="s">
        <v>235</v>
      </c>
      <c r="I980" s="3">
        <v>2502.7600000000002</v>
      </c>
      <c r="J980" s="4">
        <v>80</v>
      </c>
      <c r="K980" t="s">
        <v>16</v>
      </c>
      <c r="L980" t="str" cm="1">
        <f t="array" ref="L980">_xlfn.IFS(C980&lt;18,"under 18",C980&lt;36,"btw 18 &amp; 35",C980&lt;51,"btw 36 &amp;50",C980&lt;66,"btw 51 &amp; 66",C980&gt;66,"66 &amp; above")</f>
        <v>btw 18 &amp; 35</v>
      </c>
      <c r="M980">
        <f t="shared" si="16"/>
        <v>3</v>
      </c>
    </row>
    <row r="981" spans="1:15" x14ac:dyDescent="0.25">
      <c r="A981" t="s">
        <v>1715</v>
      </c>
      <c r="B981" t="s">
        <v>407</v>
      </c>
      <c r="C981">
        <v>43</v>
      </c>
      <c r="D981" t="s">
        <v>13</v>
      </c>
      <c r="E981" s="2">
        <v>45929</v>
      </c>
      <c r="F981" s="2">
        <v>45932</v>
      </c>
      <c r="G981" t="s">
        <v>24</v>
      </c>
      <c r="H981" t="s">
        <v>205</v>
      </c>
      <c r="I981" s="3">
        <v>6927.74</v>
      </c>
      <c r="J981" s="4">
        <v>90</v>
      </c>
      <c r="K981" t="s">
        <v>16</v>
      </c>
      <c r="L981" t="str" cm="1">
        <f t="array" ref="L981">_xlfn.IFS(C981&lt;18,"under 18",C981&lt;36,"btw 18 &amp; 35",C981&lt;51,"btw 36 &amp;50",C981&lt;66,"btw 51 &amp; 66",C981&gt;66,"66 &amp; above")</f>
        <v>btw 36 &amp;50</v>
      </c>
      <c r="M981">
        <f t="shared" si="16"/>
        <v>3</v>
      </c>
    </row>
    <row r="982" spans="1:15" x14ac:dyDescent="0.25">
      <c r="A982" t="s">
        <v>1716</v>
      </c>
      <c r="B982" t="s">
        <v>694</v>
      </c>
      <c r="C982">
        <v>54</v>
      </c>
      <c r="D982" t="s">
        <v>19</v>
      </c>
      <c r="E982" s="2">
        <v>45539</v>
      </c>
      <c r="F982" s="2">
        <v>45544</v>
      </c>
      <c r="G982" t="s">
        <v>32</v>
      </c>
      <c r="H982" t="s">
        <v>45</v>
      </c>
      <c r="I982" s="3">
        <v>4663.1899999999996</v>
      </c>
      <c r="J982" s="4">
        <v>80</v>
      </c>
      <c r="K982" t="s">
        <v>16</v>
      </c>
      <c r="L982" t="str" cm="1">
        <f t="array" ref="L982">_xlfn.IFS(C982&lt;18,"under 18",C982&lt;36,"btw 18 &amp; 35",C982&lt;51,"btw 36 &amp;50",C982&lt;66,"btw 51 &amp; 66",C982&gt;66,"66 &amp; above")</f>
        <v>btw 51 &amp; 66</v>
      </c>
      <c r="M982">
        <f t="shared" si="16"/>
        <v>5</v>
      </c>
    </row>
    <row r="983" spans="1:15" x14ac:dyDescent="0.25">
      <c r="A983" t="s">
        <v>1717</v>
      </c>
      <c r="B983" t="s">
        <v>1718</v>
      </c>
      <c r="C983">
        <v>55</v>
      </c>
      <c r="D983" t="s">
        <v>19</v>
      </c>
      <c r="E983" s="2">
        <v>45596</v>
      </c>
      <c r="F983" s="2">
        <v>45604</v>
      </c>
      <c r="G983" t="s">
        <v>61</v>
      </c>
      <c r="H983" t="s">
        <v>62</v>
      </c>
      <c r="I983" s="3">
        <v>20435.29</v>
      </c>
      <c r="J983" s="4">
        <v>70</v>
      </c>
      <c r="K983" t="s">
        <v>26</v>
      </c>
      <c r="L983" t="str" cm="1">
        <f t="array" ref="L983">_xlfn.IFS(C983&lt;18,"under 18",C983&lt;36,"btw 18 &amp; 35",C983&lt;51,"btw 36 &amp;50",C983&lt;66,"btw 51 &amp; 66",C983&gt;66,"66 &amp; above")</f>
        <v>btw 51 &amp; 66</v>
      </c>
      <c r="M983">
        <f t="shared" si="16"/>
        <v>8</v>
      </c>
    </row>
    <row r="984" spans="1:15" x14ac:dyDescent="0.25">
      <c r="A984" t="s">
        <v>1719</v>
      </c>
      <c r="B984" t="s">
        <v>387</v>
      </c>
      <c r="C984">
        <v>81</v>
      </c>
      <c r="D984" t="s">
        <v>19</v>
      </c>
      <c r="E984" s="2">
        <v>46009</v>
      </c>
      <c r="F984" s="2">
        <v>46011</v>
      </c>
      <c r="G984" t="s">
        <v>32</v>
      </c>
      <c r="H984" t="s">
        <v>45</v>
      </c>
      <c r="I984" s="3">
        <v>1278.31</v>
      </c>
      <c r="J984" s="4">
        <v>60</v>
      </c>
      <c r="K984" t="s">
        <v>21</v>
      </c>
      <c r="L984" t="str" cm="1">
        <f t="array" ref="L984">_xlfn.IFS(C984&lt;18,"under 18",C984&lt;36,"btw 18 &amp; 35",C984&lt;51,"btw 36 &amp;50",C984&lt;66,"btw 51 &amp; 66",C984&gt;66,"66 &amp; above")</f>
        <v>66 &amp; above</v>
      </c>
      <c r="M984">
        <f t="shared" si="16"/>
        <v>2</v>
      </c>
    </row>
    <row r="985" spans="1:15" x14ac:dyDescent="0.25">
      <c r="A985" t="s">
        <v>1720</v>
      </c>
      <c r="B985" t="s">
        <v>1060</v>
      </c>
      <c r="C985">
        <v>44</v>
      </c>
      <c r="D985" t="s">
        <v>13</v>
      </c>
      <c r="E985" s="2">
        <v>45675</v>
      </c>
      <c r="F985" s="2">
        <v>45678</v>
      </c>
      <c r="G985" t="s">
        <v>24</v>
      </c>
      <c r="H985" t="s">
        <v>222</v>
      </c>
      <c r="I985" s="3">
        <v>6875.52</v>
      </c>
      <c r="J985" s="4">
        <v>70</v>
      </c>
      <c r="K985" t="s">
        <v>16</v>
      </c>
      <c r="L985" t="str" cm="1">
        <f t="array" ref="L985">_xlfn.IFS(C985&lt;18,"under 18",C985&lt;36,"btw 18 &amp; 35",C985&lt;51,"btw 36 &amp;50",C985&lt;66,"btw 51 &amp; 66",C985&gt;66,"66 &amp; above")</f>
        <v>btw 36 &amp;50</v>
      </c>
      <c r="M985">
        <f t="shared" si="16"/>
        <v>3</v>
      </c>
    </row>
    <row r="986" spans="1:15" x14ac:dyDescent="0.25">
      <c r="A986" t="s">
        <v>1721</v>
      </c>
      <c r="B986" t="s">
        <v>1419</v>
      </c>
      <c r="C986">
        <v>57</v>
      </c>
      <c r="D986" t="s">
        <v>19</v>
      </c>
      <c r="E986" s="2">
        <v>45515</v>
      </c>
      <c r="F986" s="2">
        <v>45521</v>
      </c>
      <c r="G986" t="s">
        <v>71</v>
      </c>
      <c r="H986" t="s">
        <v>158</v>
      </c>
      <c r="I986" s="3">
        <v>14894.02</v>
      </c>
      <c r="J986" s="4">
        <v>60</v>
      </c>
      <c r="K986" t="s">
        <v>16</v>
      </c>
      <c r="L986" t="str" cm="1">
        <f t="array" ref="L986">_xlfn.IFS(C986&lt;18,"under 18",C986&lt;36,"btw 18 &amp; 35",C986&lt;51,"btw 36 &amp;50",C986&lt;66,"btw 51 &amp; 66",C986&gt;66,"66 &amp; above")</f>
        <v>btw 51 &amp; 66</v>
      </c>
      <c r="M986">
        <f t="shared" si="16"/>
        <v>6</v>
      </c>
    </row>
    <row r="987" spans="1:15" x14ac:dyDescent="0.25">
      <c r="A987" t="s">
        <v>1722</v>
      </c>
      <c r="B987" t="s">
        <v>1164</v>
      </c>
      <c r="C987">
        <v>55</v>
      </c>
      <c r="D987" t="s">
        <v>19</v>
      </c>
      <c r="E987" s="2">
        <v>45817</v>
      </c>
      <c r="F987" s="2">
        <v>45825</v>
      </c>
      <c r="G987" t="s">
        <v>61</v>
      </c>
      <c r="H987" t="s">
        <v>143</v>
      </c>
      <c r="I987" s="3">
        <v>16185.6</v>
      </c>
      <c r="J987" s="4">
        <v>100</v>
      </c>
      <c r="K987" t="s">
        <v>16</v>
      </c>
      <c r="L987" t="str" cm="1">
        <f t="array" ref="L987">_xlfn.IFS(C987&lt;18,"under 18",C987&lt;36,"btw 18 &amp; 35",C987&lt;51,"btw 36 &amp;50",C987&lt;66,"btw 51 &amp; 66",C987&gt;66,"66 &amp; above")</f>
        <v>btw 51 &amp; 66</v>
      </c>
      <c r="M987">
        <f t="shared" si="16"/>
        <v>8</v>
      </c>
    </row>
    <row r="988" spans="1:15" x14ac:dyDescent="0.25">
      <c r="A988" t="s">
        <v>1723</v>
      </c>
      <c r="B988" t="s">
        <v>1356</v>
      </c>
      <c r="C988">
        <v>64</v>
      </c>
      <c r="D988" t="s">
        <v>19</v>
      </c>
      <c r="E988" s="2">
        <v>45540</v>
      </c>
      <c r="F988" s="2">
        <v>45544</v>
      </c>
      <c r="G988" t="s">
        <v>32</v>
      </c>
      <c r="H988" t="s">
        <v>36</v>
      </c>
      <c r="I988" s="3">
        <v>4017.98</v>
      </c>
      <c r="J988" s="4">
        <v>100</v>
      </c>
      <c r="K988" t="s">
        <v>16</v>
      </c>
      <c r="L988" t="str" cm="1">
        <f t="array" ref="L988">_xlfn.IFS(C988&lt;18,"under 18",C988&lt;36,"btw 18 &amp; 35",C988&lt;51,"btw 36 &amp;50",C988&lt;66,"btw 51 &amp; 66",C988&gt;66,"66 &amp; above")</f>
        <v>btw 51 &amp; 66</v>
      </c>
      <c r="M988">
        <f t="shared" si="16"/>
        <v>4</v>
      </c>
    </row>
    <row r="989" spans="1:15" x14ac:dyDescent="0.25">
      <c r="A989" t="s">
        <v>1724</v>
      </c>
      <c r="B989" t="s">
        <v>1725</v>
      </c>
      <c r="C989">
        <v>1</v>
      </c>
      <c r="D989" t="s">
        <v>19</v>
      </c>
      <c r="E989" s="2">
        <v>45893</v>
      </c>
      <c r="F989" s="2">
        <v>45895</v>
      </c>
      <c r="G989" t="s">
        <v>50</v>
      </c>
      <c r="H989" t="s">
        <v>124</v>
      </c>
      <c r="I989" s="3">
        <v>1260.77</v>
      </c>
      <c r="J989" s="4">
        <v>80</v>
      </c>
      <c r="K989" t="s">
        <v>21</v>
      </c>
      <c r="L989" t="str" cm="1">
        <f t="array" ref="L989">_xlfn.IFS(C989&lt;18,"under 18",C989&lt;36,"btw 18 &amp; 35",C989&lt;51,"btw 36 &amp;50",C989&lt;66,"btw 51 &amp; 66",C989&gt;66,"66 &amp; above")</f>
        <v>under 18</v>
      </c>
      <c r="M989">
        <f t="shared" si="16"/>
        <v>2</v>
      </c>
    </row>
    <row r="990" spans="1:15" x14ac:dyDescent="0.25">
      <c r="A990" t="s">
        <v>1726</v>
      </c>
      <c r="B990" t="s">
        <v>1727</v>
      </c>
      <c r="C990">
        <v>14</v>
      </c>
      <c r="D990" t="s">
        <v>19</v>
      </c>
      <c r="E990" s="2">
        <v>45923</v>
      </c>
      <c r="F990" s="2">
        <v>45925</v>
      </c>
      <c r="G990" t="s">
        <v>50</v>
      </c>
      <c r="H990" t="s">
        <v>379</v>
      </c>
      <c r="I990" s="3">
        <v>2626.23</v>
      </c>
      <c r="J990" s="4">
        <v>60</v>
      </c>
      <c r="K990" t="s">
        <v>21</v>
      </c>
      <c r="L990" t="str" cm="1">
        <f t="array" ref="L990">_xlfn.IFS(C990&lt;18,"under 18",C990&lt;36,"btw 18 &amp; 35",C990&lt;51,"btw 36 &amp;50",C990&lt;66,"btw 51 &amp; 66",C990&gt;66,"66 &amp; above")</f>
        <v>under 18</v>
      </c>
      <c r="M990">
        <f t="shared" si="16"/>
        <v>2</v>
      </c>
      <c r="O990">
        <f>COUNTIF(D2:D1001,"male")</f>
        <v>488</v>
      </c>
    </row>
    <row r="991" spans="1:15" x14ac:dyDescent="0.25">
      <c r="A991" t="s">
        <v>1728</v>
      </c>
      <c r="B991" t="s">
        <v>1729</v>
      </c>
      <c r="C991">
        <v>14</v>
      </c>
      <c r="D991" t="s">
        <v>13</v>
      </c>
      <c r="E991" s="2">
        <v>45484</v>
      </c>
      <c r="F991" s="2">
        <v>45485</v>
      </c>
      <c r="G991" t="s">
        <v>50</v>
      </c>
      <c r="H991" t="s">
        <v>118</v>
      </c>
      <c r="I991" s="3">
        <v>713.28</v>
      </c>
      <c r="J991" s="4">
        <v>0</v>
      </c>
      <c r="K991" t="s">
        <v>26</v>
      </c>
      <c r="L991" t="str" cm="1">
        <f t="array" ref="L991">_xlfn.IFS(C991&lt;18,"under 18",C991&lt;36,"btw 18 &amp; 35",C991&lt;51,"btw 36 &amp;50",C991&lt;66,"btw 51 &amp; 66",C991&gt;66,"66 &amp; above")</f>
        <v>under 18</v>
      </c>
      <c r="M991">
        <f t="shared" si="16"/>
        <v>1</v>
      </c>
      <c r="O991">
        <f>COUNTIF(D2:D1001,"female")</f>
        <v>512</v>
      </c>
    </row>
    <row r="992" spans="1:15" x14ac:dyDescent="0.25">
      <c r="A992" t="s">
        <v>1730</v>
      </c>
      <c r="B992" t="s">
        <v>511</v>
      </c>
      <c r="C992">
        <v>64</v>
      </c>
      <c r="D992" t="s">
        <v>19</v>
      </c>
      <c r="E992" s="2">
        <v>45592</v>
      </c>
      <c r="F992" s="2">
        <v>45596</v>
      </c>
      <c r="G992" t="s">
        <v>32</v>
      </c>
      <c r="H992" t="s">
        <v>54</v>
      </c>
      <c r="I992" s="3">
        <v>5579.15</v>
      </c>
      <c r="J992" s="4">
        <v>60</v>
      </c>
      <c r="K992" t="s">
        <v>21</v>
      </c>
      <c r="L992" t="str" cm="1">
        <f t="array" ref="L992">_xlfn.IFS(C992&lt;18,"under 18",C992&lt;36,"btw 18 &amp; 35",C992&lt;51,"btw 36 &amp;50",C992&lt;66,"btw 51 &amp; 66",C992&gt;66,"66 &amp; above")</f>
        <v>btw 51 &amp; 66</v>
      </c>
      <c r="M992">
        <f t="shared" si="16"/>
        <v>4</v>
      </c>
    </row>
    <row r="993" spans="1:13" x14ac:dyDescent="0.25">
      <c r="A993" t="s">
        <v>1731</v>
      </c>
      <c r="B993" t="s">
        <v>1732</v>
      </c>
      <c r="C993">
        <v>2</v>
      </c>
      <c r="D993" t="s">
        <v>19</v>
      </c>
      <c r="E993" s="2">
        <v>45992</v>
      </c>
      <c r="F993" s="2">
        <v>45995</v>
      </c>
      <c r="G993" t="s">
        <v>50</v>
      </c>
      <c r="H993" t="s">
        <v>131</v>
      </c>
      <c r="I993" s="3">
        <v>3033.99</v>
      </c>
      <c r="J993" s="4">
        <v>80</v>
      </c>
      <c r="K993" t="s">
        <v>16</v>
      </c>
      <c r="L993" t="str" cm="1">
        <f t="array" ref="L993">_xlfn.IFS(C993&lt;18,"under 18",C993&lt;36,"btw 18 &amp; 35",C993&lt;51,"btw 36 &amp;50",C993&lt;66,"btw 51 &amp; 66",C993&gt;66,"66 &amp; above")</f>
        <v>under 18</v>
      </c>
      <c r="M993">
        <f t="shared" si="16"/>
        <v>3</v>
      </c>
    </row>
    <row r="994" spans="1:13" x14ac:dyDescent="0.25">
      <c r="A994" t="s">
        <v>1733</v>
      </c>
      <c r="B994" t="s">
        <v>483</v>
      </c>
      <c r="C994">
        <v>43</v>
      </c>
      <c r="D994" t="s">
        <v>13</v>
      </c>
      <c r="E994" s="2">
        <v>45981</v>
      </c>
      <c r="F994" s="2">
        <v>45983</v>
      </c>
      <c r="G994" t="s">
        <v>24</v>
      </c>
      <c r="H994" t="s">
        <v>25</v>
      </c>
      <c r="I994" s="3">
        <v>4133.9399999999996</v>
      </c>
      <c r="J994" s="4">
        <v>50</v>
      </c>
      <c r="K994" t="s">
        <v>16</v>
      </c>
      <c r="L994" t="str" cm="1">
        <f t="array" ref="L994">_xlfn.IFS(C994&lt;18,"under 18",C994&lt;36,"btw 18 &amp; 35",C994&lt;51,"btw 36 &amp;50",C994&lt;66,"btw 51 &amp; 66",C994&gt;66,"66 &amp; above")</f>
        <v>btw 36 &amp;50</v>
      </c>
      <c r="M994">
        <f t="shared" si="16"/>
        <v>2</v>
      </c>
    </row>
    <row r="995" spans="1:13" x14ac:dyDescent="0.25">
      <c r="A995" t="s">
        <v>1734</v>
      </c>
      <c r="B995" t="s">
        <v>1735</v>
      </c>
      <c r="C995">
        <v>10</v>
      </c>
      <c r="D995" t="s">
        <v>13</v>
      </c>
      <c r="E995" s="2">
        <v>45841</v>
      </c>
      <c r="F995" s="2">
        <v>45845</v>
      </c>
      <c r="G995" t="s">
        <v>50</v>
      </c>
      <c r="H995" t="s">
        <v>379</v>
      </c>
      <c r="I995" s="3">
        <v>4374.76</v>
      </c>
      <c r="J995" s="4">
        <v>90</v>
      </c>
      <c r="K995" t="s">
        <v>26</v>
      </c>
      <c r="L995" t="str" cm="1">
        <f t="array" ref="L995">_xlfn.IFS(C995&lt;18,"under 18",C995&lt;36,"btw 18 &amp; 35",C995&lt;51,"btw 36 &amp;50",C995&lt;66,"btw 51 &amp; 66",C995&gt;66,"66 &amp; above")</f>
        <v>under 18</v>
      </c>
      <c r="M995">
        <f t="shared" si="16"/>
        <v>4</v>
      </c>
    </row>
    <row r="996" spans="1:13" x14ac:dyDescent="0.25">
      <c r="A996" t="s">
        <v>1736</v>
      </c>
      <c r="B996" t="s">
        <v>1737</v>
      </c>
      <c r="C996">
        <v>51</v>
      </c>
      <c r="D996" t="s">
        <v>19</v>
      </c>
      <c r="E996" s="2">
        <v>45568</v>
      </c>
      <c r="F996" s="2">
        <v>45571</v>
      </c>
      <c r="G996" t="s">
        <v>14</v>
      </c>
      <c r="H996" t="s">
        <v>15</v>
      </c>
      <c r="I996" s="3">
        <v>7839.78</v>
      </c>
      <c r="J996" s="4">
        <v>90</v>
      </c>
      <c r="K996" t="s">
        <v>21</v>
      </c>
      <c r="L996" t="str" cm="1">
        <f t="array" ref="L996">_xlfn.IFS(C996&lt;18,"under 18",C996&lt;36,"btw 18 &amp; 35",C996&lt;51,"btw 36 &amp;50",C996&lt;66,"btw 51 &amp; 66",C996&gt;66,"66 &amp; above")</f>
        <v>btw 51 &amp; 66</v>
      </c>
      <c r="M996">
        <f t="shared" si="16"/>
        <v>3</v>
      </c>
    </row>
    <row r="997" spans="1:13" x14ac:dyDescent="0.25">
      <c r="A997" t="s">
        <v>1738</v>
      </c>
      <c r="B997" t="s">
        <v>747</v>
      </c>
      <c r="C997">
        <v>58</v>
      </c>
      <c r="D997" t="s">
        <v>13</v>
      </c>
      <c r="E997" s="2">
        <v>45817</v>
      </c>
      <c r="F997" s="2">
        <v>45821</v>
      </c>
      <c r="G997" t="s">
        <v>14</v>
      </c>
      <c r="H997" t="s">
        <v>103</v>
      </c>
      <c r="I997" s="3">
        <v>10021</v>
      </c>
      <c r="J997" s="4">
        <v>90</v>
      </c>
      <c r="K997" t="s">
        <v>16</v>
      </c>
      <c r="L997" t="str" cm="1">
        <f t="array" ref="L997">_xlfn.IFS(C997&lt;18,"under 18",C997&lt;36,"btw 18 &amp; 35",C997&lt;51,"btw 36 &amp;50",C997&lt;66,"btw 51 &amp; 66",C997&gt;66,"66 &amp; above")</f>
        <v>btw 51 &amp; 66</v>
      </c>
      <c r="M997">
        <f t="shared" si="16"/>
        <v>4</v>
      </c>
    </row>
    <row r="998" spans="1:13" x14ac:dyDescent="0.25">
      <c r="A998" t="s">
        <v>1739</v>
      </c>
      <c r="B998" t="s">
        <v>257</v>
      </c>
      <c r="C998">
        <v>75</v>
      </c>
      <c r="D998" t="s">
        <v>13</v>
      </c>
      <c r="E998" s="2">
        <v>45939</v>
      </c>
      <c r="F998" s="2">
        <v>45944</v>
      </c>
      <c r="G998" t="s">
        <v>32</v>
      </c>
      <c r="H998" t="s">
        <v>235</v>
      </c>
      <c r="I998" s="3">
        <v>6377.65</v>
      </c>
      <c r="J998" s="4">
        <v>60</v>
      </c>
      <c r="K998" t="s">
        <v>21</v>
      </c>
      <c r="L998" t="str" cm="1">
        <f t="array" ref="L998">_xlfn.IFS(C998&lt;18,"under 18",C998&lt;36,"btw 18 &amp; 35",C998&lt;51,"btw 36 &amp;50",C998&lt;66,"btw 51 &amp; 66",C998&gt;66,"66 &amp; above")</f>
        <v>66 &amp; above</v>
      </c>
      <c r="M998">
        <f t="shared" si="16"/>
        <v>5</v>
      </c>
    </row>
    <row r="999" spans="1:13" x14ac:dyDescent="0.25">
      <c r="A999" t="s">
        <v>1740</v>
      </c>
      <c r="B999" t="s">
        <v>455</v>
      </c>
      <c r="C999">
        <v>32</v>
      </c>
      <c r="D999" t="s">
        <v>19</v>
      </c>
      <c r="E999" s="2">
        <v>45769</v>
      </c>
      <c r="F999" s="2">
        <v>45770</v>
      </c>
      <c r="G999" t="s">
        <v>24</v>
      </c>
      <c r="H999" t="s">
        <v>222</v>
      </c>
      <c r="I999" s="3">
        <v>1020.62</v>
      </c>
      <c r="J999" s="4">
        <v>60</v>
      </c>
      <c r="K999" t="s">
        <v>16</v>
      </c>
      <c r="L999" t="str" cm="1">
        <f t="array" ref="L999">_xlfn.IFS(C999&lt;18,"under 18",C999&lt;36,"btw 18 &amp; 35",C999&lt;51,"btw 36 &amp;50",C999&lt;66,"btw 51 &amp; 66",C999&gt;66,"66 &amp; above")</f>
        <v>btw 18 &amp; 35</v>
      </c>
      <c r="M999">
        <f t="shared" si="16"/>
        <v>1</v>
      </c>
    </row>
    <row r="1000" spans="1:13" x14ac:dyDescent="0.25">
      <c r="A1000" t="s">
        <v>1741</v>
      </c>
      <c r="B1000" t="s">
        <v>1172</v>
      </c>
      <c r="C1000">
        <v>56</v>
      </c>
      <c r="D1000" t="s">
        <v>13</v>
      </c>
      <c r="E1000" s="2">
        <v>45877</v>
      </c>
      <c r="F1000" s="2">
        <v>45878</v>
      </c>
      <c r="G1000" t="s">
        <v>24</v>
      </c>
      <c r="H1000" t="s">
        <v>83</v>
      </c>
      <c r="I1000" s="3">
        <v>2315.06</v>
      </c>
      <c r="J1000" s="4">
        <v>70</v>
      </c>
      <c r="K1000" t="s">
        <v>16</v>
      </c>
      <c r="L1000" t="str" cm="1">
        <f t="array" ref="L1000">_xlfn.IFS(C1000&lt;18,"under 18",C1000&lt;36,"btw 18 &amp; 35",C1000&lt;51,"btw 36 &amp;50",C1000&lt;66,"btw 51 &amp; 66",C1000&gt;66,"66 &amp; above")</f>
        <v>btw 51 &amp; 66</v>
      </c>
      <c r="M1000">
        <f t="shared" si="16"/>
        <v>1</v>
      </c>
    </row>
    <row r="1001" spans="1:13" x14ac:dyDescent="0.25">
      <c r="A1001" t="s">
        <v>1742</v>
      </c>
      <c r="B1001" t="s">
        <v>1743</v>
      </c>
      <c r="C1001">
        <v>18</v>
      </c>
      <c r="D1001" t="s">
        <v>19</v>
      </c>
      <c r="E1001" s="2">
        <v>45349</v>
      </c>
      <c r="F1001" s="2">
        <v>45353</v>
      </c>
      <c r="G1001" t="s">
        <v>32</v>
      </c>
      <c r="H1001" t="s">
        <v>88</v>
      </c>
      <c r="I1001" s="3">
        <v>2235.16</v>
      </c>
      <c r="J1001" s="4">
        <v>100</v>
      </c>
      <c r="K1001" t="s">
        <v>26</v>
      </c>
      <c r="L1001" t="str" cm="1">
        <f t="array" ref="L1001">_xlfn.IFS(C1001&lt;18,"under 18",C1001&lt;36,"btw 18 &amp; 35",C1001&lt;51,"btw 36 &amp;50",C1001&lt;66,"btw 51 &amp; 66",C1001&gt;66,"66 &amp; above")</f>
        <v>btw 18 &amp; 35</v>
      </c>
      <c r="M1001">
        <f t="shared" si="16"/>
        <v>4</v>
      </c>
    </row>
  </sheetData>
  <autoFilter ref="A1:K1001" xr:uid="{A107B72B-7BB4-48B0-9E8B-380C33034E4F}"/>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B352-04EE-4BC7-8561-7BC3E284C02B}">
  <dimension ref="A1:W28"/>
  <sheetViews>
    <sheetView tabSelected="1" workbookViewId="0">
      <selection activeCell="T2" sqref="T2"/>
    </sheetView>
  </sheetViews>
  <sheetFormatPr defaultRowHeight="15" x14ac:dyDescent="0.25"/>
  <sheetData>
    <row r="1" spans="1:23" x14ac:dyDescent="0.25">
      <c r="A1" s="8"/>
      <c r="B1" s="8"/>
      <c r="C1" s="8"/>
      <c r="D1" s="8"/>
      <c r="E1" s="7"/>
      <c r="F1" s="7"/>
      <c r="G1" s="7"/>
      <c r="H1" s="7"/>
      <c r="I1" s="13" t="s">
        <v>1764</v>
      </c>
      <c r="J1" s="13"/>
      <c r="K1" s="13"/>
      <c r="L1" s="13"/>
      <c r="M1" s="13"/>
      <c r="N1" s="13"/>
      <c r="O1" s="13"/>
      <c r="P1" s="13"/>
      <c r="Q1" s="7"/>
      <c r="R1" s="7"/>
      <c r="S1" s="7"/>
      <c r="T1" s="7"/>
      <c r="U1" s="7"/>
      <c r="V1" s="7"/>
      <c r="W1" s="7"/>
    </row>
    <row r="2" spans="1:23" x14ac:dyDescent="0.25">
      <c r="A2" s="8"/>
      <c r="B2" s="8"/>
      <c r="C2" s="10"/>
      <c r="D2" s="8"/>
      <c r="E2" s="7"/>
      <c r="F2" s="7"/>
      <c r="G2" s="7"/>
      <c r="H2" s="7"/>
      <c r="I2" s="13"/>
      <c r="J2" s="13"/>
      <c r="K2" s="13"/>
      <c r="L2" s="13"/>
      <c r="M2" s="13"/>
      <c r="N2" s="13"/>
      <c r="O2" s="13"/>
      <c r="P2" s="13"/>
      <c r="Q2" s="7"/>
      <c r="R2" s="7"/>
      <c r="S2" s="7"/>
      <c r="T2" s="7"/>
      <c r="U2" s="7"/>
      <c r="V2" s="7"/>
      <c r="W2" s="7"/>
    </row>
    <row r="3" spans="1:23" x14ac:dyDescent="0.25">
      <c r="A3" s="8"/>
      <c r="B3" s="8"/>
      <c r="C3" s="8"/>
      <c r="D3" s="8"/>
      <c r="E3" s="7"/>
      <c r="F3" s="7"/>
      <c r="G3" s="7"/>
      <c r="H3" s="7"/>
      <c r="I3" s="7"/>
      <c r="J3" s="7"/>
      <c r="K3" s="7"/>
      <c r="L3" s="7"/>
      <c r="M3" s="7"/>
      <c r="N3" s="7"/>
      <c r="O3" s="7"/>
      <c r="P3" s="7"/>
      <c r="Q3" s="7"/>
      <c r="R3" s="7"/>
      <c r="S3" s="7"/>
      <c r="T3" s="7"/>
      <c r="U3" s="7"/>
      <c r="V3" s="7"/>
      <c r="W3" s="7"/>
    </row>
    <row r="4" spans="1:23" x14ac:dyDescent="0.25">
      <c r="A4" s="8"/>
      <c r="B4" s="8"/>
      <c r="C4" s="8"/>
      <c r="D4" s="8"/>
      <c r="E4" s="7"/>
      <c r="F4" s="7"/>
      <c r="G4" s="7"/>
      <c r="H4" s="7"/>
      <c r="I4" s="7"/>
      <c r="J4" s="7"/>
      <c r="K4" s="7"/>
      <c r="L4" s="7"/>
      <c r="M4" s="7"/>
      <c r="N4" s="7"/>
      <c r="O4" s="7"/>
      <c r="P4" s="7"/>
      <c r="Q4" s="7"/>
      <c r="R4" s="7"/>
      <c r="S4" s="7"/>
      <c r="T4" s="7"/>
      <c r="U4" s="7"/>
      <c r="V4" s="7"/>
      <c r="W4" s="7"/>
    </row>
    <row r="5" spans="1:23" x14ac:dyDescent="0.25">
      <c r="A5" s="8"/>
      <c r="B5" s="8"/>
      <c r="C5" s="8"/>
      <c r="D5" s="8"/>
      <c r="E5" s="7"/>
      <c r="F5" s="7"/>
      <c r="G5" s="7"/>
      <c r="H5" s="7"/>
      <c r="I5" s="7"/>
      <c r="J5" s="7"/>
      <c r="K5" s="7"/>
      <c r="L5" s="7"/>
      <c r="M5" s="7"/>
      <c r="N5" s="7"/>
      <c r="O5" s="7"/>
      <c r="P5" s="7"/>
      <c r="Q5" s="7"/>
      <c r="R5" s="7"/>
      <c r="S5" s="7"/>
      <c r="T5" s="7"/>
      <c r="U5" s="7"/>
      <c r="V5" s="7"/>
      <c r="W5" s="7"/>
    </row>
    <row r="6" spans="1:23" x14ac:dyDescent="0.25">
      <c r="A6" s="8"/>
      <c r="B6" s="8"/>
      <c r="C6" s="8"/>
      <c r="D6" s="8"/>
      <c r="E6" s="7"/>
      <c r="F6" s="7"/>
      <c r="G6" s="7"/>
      <c r="H6" s="7"/>
      <c r="I6" s="7"/>
      <c r="J6" s="7"/>
      <c r="K6" s="7"/>
      <c r="L6" s="7"/>
      <c r="M6" s="7"/>
      <c r="N6" s="7"/>
      <c r="O6" s="7"/>
      <c r="P6" s="7"/>
      <c r="Q6" s="7"/>
      <c r="R6" s="7"/>
      <c r="S6" s="7"/>
      <c r="T6" s="7"/>
      <c r="U6" s="7"/>
      <c r="V6" s="7"/>
      <c r="W6" s="7"/>
    </row>
    <row r="7" spans="1:23" x14ac:dyDescent="0.25">
      <c r="A7" s="8"/>
      <c r="B7" s="8"/>
      <c r="C7" s="8"/>
      <c r="D7" s="8"/>
      <c r="E7" s="7"/>
      <c r="F7" s="7"/>
      <c r="G7" s="7"/>
      <c r="H7" s="7"/>
      <c r="I7" s="7"/>
      <c r="J7" s="7"/>
      <c r="K7" s="7"/>
      <c r="L7" s="7"/>
      <c r="M7" s="7"/>
      <c r="N7" s="7"/>
      <c r="O7" s="7"/>
      <c r="P7" s="7"/>
      <c r="Q7" s="7"/>
      <c r="R7" s="7"/>
      <c r="S7" s="7"/>
      <c r="T7" s="7"/>
      <c r="U7" s="7"/>
      <c r="V7" s="7"/>
      <c r="W7" s="7"/>
    </row>
    <row r="8" spans="1:23" x14ac:dyDescent="0.25">
      <c r="A8" s="8"/>
      <c r="B8" s="8"/>
      <c r="C8" s="8"/>
      <c r="D8" s="8"/>
      <c r="E8" s="7"/>
      <c r="F8" s="7"/>
      <c r="G8" s="7"/>
      <c r="H8" s="7"/>
      <c r="I8" s="7"/>
      <c r="J8" s="7"/>
      <c r="K8" s="7"/>
      <c r="L8" s="7"/>
      <c r="M8" s="7"/>
      <c r="N8" s="7"/>
      <c r="O8" s="7"/>
      <c r="P8" s="7"/>
      <c r="Q8" s="7"/>
      <c r="R8" s="7"/>
      <c r="S8" s="7"/>
      <c r="T8" s="7"/>
      <c r="U8" s="7"/>
      <c r="V8" s="7"/>
      <c r="W8" s="7"/>
    </row>
    <row r="9" spans="1:23" x14ac:dyDescent="0.25">
      <c r="A9" s="8"/>
      <c r="B9" s="8"/>
      <c r="C9" s="8"/>
      <c r="D9" s="8"/>
      <c r="E9" s="7"/>
      <c r="F9" s="7"/>
      <c r="G9" s="7"/>
      <c r="H9" s="7"/>
      <c r="I9" s="7"/>
      <c r="J9" s="7"/>
      <c r="K9" s="7"/>
      <c r="L9" s="7"/>
      <c r="M9" s="7"/>
      <c r="N9" s="7"/>
      <c r="O9" s="7"/>
      <c r="P9" s="7"/>
      <c r="Q9" s="7"/>
      <c r="R9" s="7"/>
      <c r="S9" s="7"/>
      <c r="T9" s="7"/>
      <c r="U9" s="7"/>
      <c r="V9" s="7"/>
      <c r="W9" s="7"/>
    </row>
    <row r="10" spans="1:23" x14ac:dyDescent="0.25">
      <c r="A10" s="8"/>
      <c r="B10" s="8"/>
      <c r="C10" s="8"/>
      <c r="D10" s="8"/>
      <c r="E10" s="7"/>
      <c r="F10" s="7"/>
      <c r="G10" s="7"/>
      <c r="H10" s="7"/>
      <c r="I10" s="7"/>
      <c r="J10" s="7"/>
      <c r="K10" s="7"/>
      <c r="L10" s="7"/>
      <c r="M10" s="7"/>
      <c r="N10" s="7"/>
      <c r="O10" s="7"/>
      <c r="P10" s="7"/>
      <c r="Q10" s="7"/>
      <c r="R10" s="7"/>
      <c r="S10" s="7"/>
      <c r="T10" s="7"/>
      <c r="U10" s="7"/>
      <c r="V10" s="7"/>
      <c r="W10" s="7"/>
    </row>
    <row r="11" spans="1:23" x14ac:dyDescent="0.25">
      <c r="A11" s="8"/>
      <c r="B11" s="8"/>
      <c r="C11" s="8"/>
      <c r="D11" s="8"/>
      <c r="E11" s="7"/>
      <c r="F11" s="7"/>
      <c r="G11" s="7"/>
      <c r="H11" s="7"/>
      <c r="I11" s="7"/>
      <c r="J11" s="7"/>
      <c r="K11" s="7"/>
      <c r="L11" s="7"/>
      <c r="M11" s="7"/>
      <c r="N11" s="7"/>
      <c r="O11" s="7"/>
      <c r="P11" s="7"/>
      <c r="Q11" s="7"/>
      <c r="R11" s="7"/>
      <c r="S11" s="7"/>
      <c r="T11" s="7"/>
      <c r="U11" s="7"/>
      <c r="V11" s="7"/>
      <c r="W11" s="7"/>
    </row>
    <row r="12" spans="1:23" x14ac:dyDescent="0.25">
      <c r="A12" s="8"/>
      <c r="B12" s="8"/>
      <c r="C12" s="8"/>
      <c r="D12" s="8"/>
      <c r="E12" s="7"/>
      <c r="F12" s="7"/>
      <c r="G12" s="7"/>
      <c r="H12" s="7"/>
      <c r="I12" s="7"/>
      <c r="J12" s="7"/>
      <c r="K12" s="7"/>
      <c r="L12" s="7"/>
      <c r="M12" s="7"/>
      <c r="N12" s="7"/>
      <c r="O12" s="7"/>
      <c r="P12" s="7"/>
      <c r="Q12" s="7"/>
      <c r="R12" s="7"/>
      <c r="S12" s="7"/>
      <c r="T12" s="7"/>
      <c r="U12" s="7"/>
      <c r="V12" s="7"/>
      <c r="W12" s="7"/>
    </row>
    <row r="13" spans="1:23" x14ac:dyDescent="0.25">
      <c r="A13" s="8"/>
      <c r="B13" s="8"/>
      <c r="C13" s="8"/>
      <c r="D13" s="8"/>
      <c r="E13" s="7"/>
      <c r="F13" s="7"/>
      <c r="G13" s="7"/>
      <c r="H13" s="7"/>
      <c r="I13" s="7"/>
      <c r="J13" s="7"/>
      <c r="K13" s="7"/>
      <c r="L13" s="7"/>
      <c r="M13" s="7"/>
      <c r="N13" s="7"/>
      <c r="O13" s="7"/>
      <c r="P13" s="7"/>
      <c r="Q13" s="7"/>
      <c r="R13" s="7"/>
      <c r="S13" s="7"/>
      <c r="T13" s="7"/>
      <c r="U13" s="7"/>
      <c r="V13" s="7"/>
      <c r="W13" s="7"/>
    </row>
    <row r="14" spans="1:23" x14ac:dyDescent="0.25">
      <c r="A14" s="8"/>
      <c r="B14" s="8"/>
      <c r="C14" s="8"/>
      <c r="D14" s="8"/>
      <c r="E14" s="7"/>
      <c r="F14" s="7"/>
      <c r="G14" s="7"/>
      <c r="H14" s="7"/>
      <c r="I14" s="7"/>
      <c r="J14" s="7"/>
      <c r="K14" s="7"/>
      <c r="L14" s="7"/>
      <c r="M14" s="7"/>
      <c r="N14" s="7"/>
      <c r="O14" s="7"/>
      <c r="P14" s="7"/>
      <c r="Q14" s="7"/>
      <c r="R14" s="7"/>
      <c r="S14" s="7"/>
      <c r="T14" s="7"/>
      <c r="U14" s="7"/>
      <c r="V14" s="7"/>
      <c r="W14" s="7"/>
    </row>
    <row r="15" spans="1:23" x14ac:dyDescent="0.25">
      <c r="A15" s="8"/>
      <c r="B15" s="8"/>
      <c r="C15" s="8"/>
      <c r="D15" s="8"/>
      <c r="E15" s="7"/>
      <c r="F15" s="7"/>
      <c r="G15" s="7"/>
      <c r="H15" s="7"/>
      <c r="I15" s="7"/>
      <c r="J15" s="7"/>
      <c r="K15" s="7"/>
      <c r="L15" s="7"/>
      <c r="M15" s="7"/>
      <c r="N15" s="7"/>
      <c r="O15" s="7"/>
      <c r="P15" s="7"/>
      <c r="Q15" s="7"/>
      <c r="R15" s="7"/>
      <c r="S15" s="7"/>
      <c r="T15" s="7"/>
      <c r="U15" s="7"/>
      <c r="V15" s="7"/>
      <c r="W15" s="7"/>
    </row>
    <row r="16" spans="1:23" x14ac:dyDescent="0.25">
      <c r="A16" s="8"/>
      <c r="B16" s="8"/>
      <c r="C16" s="8"/>
      <c r="D16" s="8"/>
      <c r="E16" s="7"/>
      <c r="F16" s="7"/>
      <c r="G16" s="7"/>
      <c r="H16" s="7"/>
      <c r="I16" s="7"/>
      <c r="J16" s="7"/>
      <c r="K16" s="7"/>
      <c r="L16" s="7"/>
      <c r="M16" s="7"/>
      <c r="N16" s="7"/>
      <c r="O16" s="7"/>
      <c r="P16" s="7"/>
      <c r="Q16" s="7"/>
      <c r="R16" s="7"/>
      <c r="S16" s="7"/>
      <c r="T16" s="7"/>
      <c r="U16" s="7"/>
      <c r="V16" s="7"/>
      <c r="W16" s="7"/>
    </row>
    <row r="17" spans="1:23" x14ac:dyDescent="0.25">
      <c r="A17" s="8"/>
      <c r="B17" s="8"/>
      <c r="C17" s="8"/>
      <c r="D17" s="8"/>
      <c r="E17" s="7"/>
      <c r="F17" s="7"/>
      <c r="G17" s="7"/>
      <c r="H17" s="7"/>
      <c r="I17" s="7"/>
      <c r="J17" s="7"/>
      <c r="K17" s="7"/>
      <c r="L17" s="7"/>
      <c r="M17" s="7"/>
      <c r="N17" s="7"/>
      <c r="O17" s="7"/>
      <c r="P17" s="7"/>
      <c r="Q17" s="7"/>
      <c r="R17" s="7"/>
      <c r="S17" s="7"/>
      <c r="T17" s="7"/>
      <c r="U17" s="7"/>
      <c r="V17" s="7"/>
      <c r="W17" s="7"/>
    </row>
    <row r="18" spans="1:23" x14ac:dyDescent="0.25">
      <c r="A18" s="8"/>
      <c r="B18" s="8"/>
      <c r="C18" s="8"/>
      <c r="D18" s="8"/>
      <c r="E18" s="7"/>
      <c r="F18" s="7"/>
      <c r="G18" s="7"/>
      <c r="H18" s="7"/>
      <c r="I18" s="7"/>
      <c r="J18" s="7"/>
      <c r="K18" s="7"/>
      <c r="L18" s="7"/>
      <c r="M18" s="7"/>
      <c r="N18" s="7"/>
      <c r="O18" s="7"/>
      <c r="P18" s="7"/>
      <c r="Q18" s="7"/>
      <c r="R18" s="7"/>
      <c r="S18" s="7"/>
      <c r="T18" s="7"/>
      <c r="U18" s="7"/>
      <c r="V18" s="7"/>
      <c r="W18" s="7"/>
    </row>
    <row r="19" spans="1:23" x14ac:dyDescent="0.25">
      <c r="A19" s="8"/>
      <c r="B19" s="8"/>
      <c r="C19" s="8"/>
      <c r="D19" s="8"/>
      <c r="E19" s="7"/>
      <c r="F19" s="7"/>
      <c r="G19" s="7"/>
      <c r="H19" s="7"/>
      <c r="I19" s="7"/>
      <c r="J19" s="7"/>
      <c r="K19" s="7"/>
      <c r="L19" s="7"/>
      <c r="M19" s="7"/>
      <c r="N19" s="7"/>
      <c r="O19" s="7"/>
      <c r="P19" s="7"/>
      <c r="Q19" s="7"/>
      <c r="R19" s="7"/>
      <c r="S19" s="7"/>
      <c r="T19" s="7"/>
      <c r="U19" s="7"/>
      <c r="V19" s="7"/>
      <c r="W19" s="7"/>
    </row>
    <row r="20" spans="1:23" x14ac:dyDescent="0.25">
      <c r="A20" s="8"/>
      <c r="B20" s="8"/>
      <c r="C20" s="8"/>
      <c r="D20" s="8"/>
      <c r="E20" s="7"/>
      <c r="F20" s="7"/>
      <c r="G20" s="7"/>
      <c r="H20" s="7"/>
      <c r="I20" s="7"/>
      <c r="J20" s="7"/>
      <c r="K20" s="7"/>
      <c r="L20" s="7"/>
      <c r="M20" s="7"/>
      <c r="N20" s="7"/>
      <c r="O20" s="7"/>
      <c r="P20" s="7"/>
      <c r="Q20" s="7"/>
      <c r="R20" s="7"/>
      <c r="S20" s="7"/>
      <c r="T20" s="7"/>
      <c r="U20" s="7"/>
      <c r="V20" s="7"/>
      <c r="W20" s="7"/>
    </row>
    <row r="21" spans="1:23" x14ac:dyDescent="0.25">
      <c r="A21" s="8"/>
      <c r="B21" s="8"/>
      <c r="C21" s="8"/>
      <c r="D21" s="8"/>
      <c r="E21" s="7"/>
      <c r="F21" s="7"/>
      <c r="G21" s="7"/>
      <c r="H21" s="7"/>
      <c r="I21" s="7"/>
      <c r="J21" s="7"/>
      <c r="K21" s="7"/>
      <c r="L21" s="7"/>
      <c r="M21" s="7"/>
      <c r="N21" s="7"/>
      <c r="O21" s="7"/>
      <c r="P21" s="7"/>
      <c r="Q21" s="7"/>
      <c r="R21" s="7"/>
      <c r="S21" s="7"/>
      <c r="T21" s="7"/>
      <c r="U21" s="7"/>
      <c r="V21" s="7"/>
      <c r="W21" s="7"/>
    </row>
    <row r="22" spans="1:23" x14ac:dyDescent="0.25">
      <c r="E22" s="7"/>
      <c r="F22" s="7"/>
      <c r="G22" s="7"/>
      <c r="H22" s="7"/>
      <c r="I22" s="7"/>
      <c r="J22" s="7"/>
      <c r="K22" s="7"/>
      <c r="L22" s="7"/>
      <c r="M22" s="7"/>
      <c r="N22" s="7"/>
      <c r="O22" s="7"/>
      <c r="P22" s="7"/>
      <c r="Q22" s="7"/>
      <c r="R22" s="7"/>
      <c r="S22" s="7"/>
      <c r="T22" s="7"/>
      <c r="U22" s="7"/>
      <c r="V22" s="7"/>
      <c r="W22" s="7"/>
    </row>
    <row r="23" spans="1:23" x14ac:dyDescent="0.25">
      <c r="E23" s="7"/>
      <c r="F23" s="7"/>
      <c r="G23" s="7"/>
      <c r="H23" s="7"/>
      <c r="I23" s="7"/>
      <c r="J23" s="7"/>
      <c r="K23" s="7"/>
      <c r="L23" s="7"/>
      <c r="M23" s="7"/>
      <c r="N23" s="7"/>
      <c r="O23" s="7"/>
      <c r="P23" s="7"/>
      <c r="Q23" s="7"/>
      <c r="R23" s="7"/>
      <c r="S23" s="7"/>
      <c r="T23" s="7"/>
      <c r="U23" s="7"/>
      <c r="V23" s="7"/>
      <c r="W23" s="7"/>
    </row>
    <row r="24" spans="1:23" x14ac:dyDescent="0.25">
      <c r="E24" s="7"/>
      <c r="F24" s="7"/>
      <c r="G24" s="7"/>
      <c r="H24" s="7"/>
      <c r="I24" s="7"/>
      <c r="J24" s="7"/>
      <c r="K24" s="7"/>
      <c r="L24" s="7"/>
      <c r="M24" s="7"/>
      <c r="N24" s="7"/>
      <c r="O24" s="7"/>
      <c r="P24" s="7"/>
      <c r="Q24" s="7"/>
      <c r="R24" s="7"/>
      <c r="S24" s="7"/>
      <c r="T24" s="7"/>
      <c r="U24" s="7"/>
      <c r="V24" s="7"/>
      <c r="W24" s="7"/>
    </row>
    <row r="25" spans="1:23" x14ac:dyDescent="0.25">
      <c r="E25" s="7"/>
      <c r="F25" s="7"/>
      <c r="G25" s="7"/>
      <c r="H25" s="7"/>
      <c r="I25" s="7"/>
      <c r="J25" s="7"/>
      <c r="K25" s="7"/>
      <c r="L25" s="7"/>
      <c r="M25" s="7"/>
      <c r="N25" s="7"/>
      <c r="O25" s="7"/>
      <c r="P25" s="7"/>
      <c r="Q25" s="7"/>
      <c r="R25" s="7"/>
      <c r="S25" s="7"/>
      <c r="T25" s="7"/>
      <c r="U25" s="7"/>
      <c r="V25" s="7"/>
      <c r="W25" s="7"/>
    </row>
    <row r="26" spans="1:23" x14ac:dyDescent="0.25">
      <c r="E26" s="7"/>
      <c r="F26" s="7"/>
      <c r="G26" s="7"/>
      <c r="H26" s="7"/>
      <c r="I26" s="7"/>
      <c r="J26" s="7"/>
      <c r="K26" s="7"/>
      <c r="L26" s="7"/>
      <c r="M26" s="7"/>
      <c r="N26" s="7"/>
      <c r="O26" s="7"/>
      <c r="P26" s="7"/>
      <c r="Q26" s="7"/>
      <c r="R26" s="7"/>
      <c r="S26" s="7"/>
      <c r="T26" s="7"/>
      <c r="U26" s="7"/>
      <c r="V26" s="7"/>
      <c r="W26" s="7"/>
    </row>
    <row r="27" spans="1:23" x14ac:dyDescent="0.25">
      <c r="E27" s="7"/>
      <c r="F27" s="7"/>
      <c r="G27" s="7"/>
      <c r="H27" s="7"/>
      <c r="I27" s="7"/>
      <c r="J27" s="7"/>
      <c r="K27" s="7"/>
      <c r="L27" s="7"/>
      <c r="M27" s="7"/>
      <c r="N27" s="7"/>
      <c r="O27" s="7"/>
      <c r="P27" s="7"/>
      <c r="Q27" s="7"/>
      <c r="R27" s="7"/>
      <c r="S27" s="7"/>
      <c r="T27" s="7"/>
      <c r="U27" s="7"/>
      <c r="V27" s="7"/>
      <c r="W27" s="7"/>
    </row>
    <row r="28" spans="1:23" x14ac:dyDescent="0.25">
      <c r="E28" s="7"/>
      <c r="F28" s="7"/>
      <c r="G28" s="7"/>
      <c r="H28" s="7"/>
      <c r="I28" s="7"/>
      <c r="J28" s="7"/>
      <c r="K28" s="7"/>
      <c r="L28" s="7"/>
      <c r="M28" s="7"/>
      <c r="N28" s="7"/>
      <c r="O28" s="7"/>
      <c r="P28" s="7"/>
      <c r="Q28" s="7"/>
      <c r="R28" s="7"/>
      <c r="S28" s="7"/>
      <c r="T28" s="7"/>
      <c r="U28" s="7"/>
      <c r="V28" s="7"/>
      <c r="W28" s="7"/>
    </row>
  </sheetData>
  <mergeCells count="1">
    <mergeCell ref="I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Hospital Patients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Epsilon Hospital</cp:lastModifiedBy>
  <cp:lastPrinted>2026-10-30T16:50:21Z</cp:lastPrinted>
  <dcterms:created xsi:type="dcterms:W3CDTF">2026-03-11T02:30:26Z</dcterms:created>
  <dcterms:modified xsi:type="dcterms:W3CDTF">2026-10-30T16:50:32Z</dcterms:modified>
</cp:coreProperties>
</file>